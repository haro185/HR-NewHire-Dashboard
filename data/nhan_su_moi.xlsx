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1. Hảo\0. Bàn giao tài liệu\8. Gửi Zulip\0. Code lấy thông tin từ Topic trong Chanel Zulip\RecruitmentDashboard\RecruitmentDashboard\"/>
    </mc:Choice>
  </mc:AlternateContent>
  <xr:revisionPtr revIDLastSave="0" documentId="13_ncr:1_{21932A81-3D15-456F-AE49-7C9A404ADE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hân sự mới" sheetId="1" r:id="rId1"/>
  </sheets>
  <externalReferences>
    <externalReference r:id="rId2"/>
    <externalReference r:id="rId3"/>
  </externalReferences>
  <definedNames>
    <definedName name="_xlnm._FilterDatabase" localSheetId="0" hidden="1">'Nhân sự mới'!$A$1:$AB$122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3" i="1" l="1" a="1"/>
  <c r="X3" i="1" s="1"/>
  <c r="X4" i="1" a="1"/>
  <c r="X4" i="1" s="1"/>
  <c r="X5" i="1" a="1"/>
  <c r="X5" i="1" s="1"/>
  <c r="X6" i="1" a="1"/>
  <c r="X6" i="1" s="1"/>
  <c r="X7" i="1" a="1"/>
  <c r="X7" i="1" s="1"/>
  <c r="X8" i="1" a="1"/>
  <c r="X8" i="1" s="1"/>
  <c r="X9" i="1" a="1"/>
  <c r="X9" i="1" s="1"/>
  <c r="X10" i="1" a="1"/>
  <c r="X10" i="1" s="1"/>
  <c r="X11" i="1" a="1"/>
  <c r="X11" i="1" s="1"/>
  <c r="X12" i="1" a="1"/>
  <c r="X12" i="1" s="1"/>
  <c r="X13" i="1" a="1"/>
  <c r="X13" i="1" s="1"/>
  <c r="X14" i="1" a="1"/>
  <c r="X14" i="1" s="1"/>
  <c r="X15" i="1" a="1"/>
  <c r="X15" i="1" s="1"/>
  <c r="X16" i="1" a="1"/>
  <c r="X16" i="1" s="1"/>
  <c r="X17" i="1" a="1"/>
  <c r="X17" i="1" s="1"/>
  <c r="X18" i="1" a="1"/>
  <c r="X18" i="1" s="1"/>
  <c r="X19" i="1" a="1"/>
  <c r="X19" i="1" s="1"/>
  <c r="X20" i="1" a="1"/>
  <c r="X20" i="1" s="1"/>
  <c r="X21" i="1" a="1"/>
  <c r="X21" i="1" s="1"/>
  <c r="X22" i="1" a="1"/>
  <c r="X22" i="1" s="1"/>
  <c r="X23" i="1" a="1"/>
  <c r="X23" i="1" s="1"/>
  <c r="X24" i="1" a="1"/>
  <c r="X24" i="1" s="1"/>
  <c r="X25" i="1" a="1"/>
  <c r="X25" i="1" s="1"/>
  <c r="X26" i="1" a="1"/>
  <c r="X26" i="1" s="1"/>
  <c r="X27" i="1" a="1"/>
  <c r="X27" i="1" s="1"/>
  <c r="X28" i="1" a="1"/>
  <c r="X28" i="1" s="1"/>
  <c r="X29" i="1" a="1"/>
  <c r="X29" i="1" s="1"/>
  <c r="X30" i="1" a="1"/>
  <c r="X30" i="1" s="1"/>
  <c r="X31" i="1" a="1"/>
  <c r="X31" i="1" s="1"/>
  <c r="X32" i="1" a="1"/>
  <c r="X32" i="1" s="1"/>
  <c r="X33" i="1" a="1"/>
  <c r="X33" i="1" s="1"/>
  <c r="X34" i="1" a="1"/>
  <c r="X34" i="1" s="1"/>
  <c r="X35" i="1" a="1"/>
  <c r="X35" i="1" s="1"/>
  <c r="X36" i="1" a="1"/>
  <c r="X36" i="1" s="1"/>
  <c r="X37" i="1" a="1"/>
  <c r="X37" i="1" s="1"/>
  <c r="X38" i="1" a="1"/>
  <c r="X38" i="1" s="1"/>
  <c r="X39" i="1" a="1"/>
  <c r="X39" i="1" s="1"/>
  <c r="X40" i="1" a="1"/>
  <c r="X40" i="1" s="1"/>
  <c r="X41" i="1" a="1"/>
  <c r="X41" i="1" s="1"/>
  <c r="X42" i="1" a="1"/>
  <c r="X42" i="1" s="1"/>
  <c r="X43" i="1" a="1"/>
  <c r="X43" i="1" s="1"/>
  <c r="X44" i="1" a="1"/>
  <c r="X44" i="1" s="1"/>
  <c r="X45" i="1" a="1"/>
  <c r="X45" i="1" s="1"/>
  <c r="X46" i="1" a="1"/>
  <c r="X46" i="1" s="1"/>
  <c r="X47" i="1" a="1"/>
  <c r="X47" i="1" s="1"/>
  <c r="X48" i="1" a="1"/>
  <c r="X48" i="1" s="1"/>
  <c r="X49" i="1" a="1"/>
  <c r="X49" i="1" s="1"/>
  <c r="X50" i="1" a="1"/>
  <c r="X50" i="1" s="1"/>
  <c r="X51" i="1" a="1"/>
  <c r="X51" i="1" s="1"/>
  <c r="X52" i="1" a="1"/>
  <c r="X52" i="1" s="1"/>
  <c r="X53" i="1" a="1"/>
  <c r="X53" i="1" s="1"/>
  <c r="X54" i="1" a="1"/>
  <c r="X54" i="1" s="1"/>
  <c r="X55" i="1" a="1"/>
  <c r="X55" i="1" s="1"/>
  <c r="X56" i="1" a="1"/>
  <c r="X56" i="1" s="1"/>
  <c r="X57" i="1" a="1"/>
  <c r="X57" i="1" s="1"/>
  <c r="X58" i="1" a="1"/>
  <c r="X58" i="1" s="1"/>
  <c r="X59" i="1" a="1"/>
  <c r="X59" i="1" s="1"/>
  <c r="X60" i="1" a="1"/>
  <c r="X60" i="1" s="1"/>
  <c r="X61" i="1" a="1"/>
  <c r="X61" i="1" s="1"/>
  <c r="X62" i="1" a="1"/>
  <c r="X62" i="1" s="1"/>
  <c r="X63" i="1" a="1"/>
  <c r="X63" i="1" s="1"/>
  <c r="X64" i="1" a="1"/>
  <c r="X64" i="1" s="1"/>
  <c r="X65" i="1" a="1"/>
  <c r="X65" i="1" s="1"/>
  <c r="X66" i="1" a="1"/>
  <c r="X66" i="1" s="1"/>
  <c r="X67" i="1" a="1"/>
  <c r="X67" i="1" s="1"/>
  <c r="X68" i="1" a="1"/>
  <c r="X68" i="1" s="1"/>
  <c r="X69" i="1" a="1"/>
  <c r="X69" i="1" s="1"/>
  <c r="X70" i="1" a="1"/>
  <c r="X70" i="1" s="1"/>
  <c r="X71" i="1" a="1"/>
  <c r="X71" i="1" s="1"/>
  <c r="X72" i="1" a="1"/>
  <c r="X72" i="1" s="1"/>
  <c r="X73" i="1" a="1"/>
  <c r="X73" i="1" s="1"/>
  <c r="X74" i="1" a="1"/>
  <c r="X74" i="1" s="1"/>
  <c r="X75" i="1" a="1"/>
  <c r="X75" i="1" s="1"/>
  <c r="X76" i="1" a="1"/>
  <c r="X76" i="1" s="1"/>
  <c r="X77" i="1" a="1"/>
  <c r="X77" i="1" s="1"/>
  <c r="X78" i="1" a="1"/>
  <c r="X78" i="1" s="1"/>
  <c r="X79" i="1" a="1"/>
  <c r="X79" i="1" s="1"/>
  <c r="X80" i="1" a="1"/>
  <c r="X80" i="1" s="1"/>
  <c r="X81" i="1" a="1"/>
  <c r="X81" i="1" s="1"/>
  <c r="X82" i="1" a="1"/>
  <c r="X82" i="1" s="1"/>
  <c r="X83" i="1" a="1"/>
  <c r="X83" i="1" s="1"/>
  <c r="X84" i="1" a="1"/>
  <c r="X84" i="1" s="1"/>
  <c r="X85" i="1" a="1"/>
  <c r="X85" i="1" s="1"/>
  <c r="X86" i="1" a="1"/>
  <c r="X86" i="1" s="1"/>
  <c r="X87" i="1" a="1"/>
  <c r="X87" i="1" s="1"/>
  <c r="X88" i="1" a="1"/>
  <c r="X88" i="1" s="1"/>
  <c r="X89" i="1" a="1"/>
  <c r="X89" i="1" s="1"/>
  <c r="X90" i="1" a="1"/>
  <c r="X90" i="1" s="1"/>
  <c r="X91" i="1" a="1"/>
  <c r="X91" i="1" s="1"/>
  <c r="X92" i="1" a="1"/>
  <c r="X92" i="1" s="1"/>
  <c r="X93" i="1" a="1"/>
  <c r="X93" i="1" s="1"/>
  <c r="X94" i="1" a="1"/>
  <c r="X94" i="1" s="1"/>
  <c r="X95" i="1" a="1"/>
  <c r="X95" i="1" s="1"/>
  <c r="X96" i="1" a="1"/>
  <c r="X96" i="1" s="1"/>
  <c r="X97" i="1" a="1"/>
  <c r="X97" i="1" s="1"/>
  <c r="X98" i="1" a="1"/>
  <c r="X98" i="1" s="1"/>
  <c r="X99" i="1" a="1"/>
  <c r="X99" i="1" s="1"/>
  <c r="X100" i="1" a="1"/>
  <c r="X100" i="1" s="1"/>
  <c r="X101" i="1" a="1"/>
  <c r="X101" i="1" s="1"/>
  <c r="X102" i="1" a="1"/>
  <c r="X102" i="1" s="1"/>
  <c r="X103" i="1" a="1"/>
  <c r="X103" i="1" s="1"/>
  <c r="X104" i="1" a="1"/>
  <c r="X104" i="1" s="1"/>
  <c r="X105" i="1" a="1"/>
  <c r="X105" i="1" s="1"/>
  <c r="X106" i="1" a="1"/>
  <c r="X106" i="1" s="1"/>
  <c r="X107" i="1" a="1"/>
  <c r="X107" i="1" s="1"/>
  <c r="X108" i="1" a="1"/>
  <c r="X108" i="1" s="1"/>
  <c r="X109" i="1" a="1"/>
  <c r="X109" i="1" s="1"/>
  <c r="X110" i="1" a="1"/>
  <c r="X110" i="1" s="1"/>
  <c r="X111" i="1" a="1"/>
  <c r="X111" i="1" s="1"/>
  <c r="X112" i="1" a="1"/>
  <c r="X112" i="1" s="1"/>
  <c r="X113" i="1" a="1"/>
  <c r="X113" i="1" s="1"/>
  <c r="X114" i="1" a="1"/>
  <c r="X114" i="1" s="1"/>
  <c r="X115" i="1" a="1"/>
  <c r="X115" i="1" s="1"/>
  <c r="X116" i="1" a="1"/>
  <c r="X116" i="1" s="1"/>
  <c r="X117" i="1" a="1"/>
  <c r="X117" i="1" s="1"/>
  <c r="X118" i="1" a="1"/>
  <c r="X118" i="1" s="1"/>
  <c r="X119" i="1" a="1"/>
  <c r="X119" i="1" s="1"/>
  <c r="X120" i="1" a="1"/>
  <c r="X120" i="1" s="1"/>
  <c r="X121" i="1" a="1"/>
  <c r="X121" i="1" s="1"/>
  <c r="X122" i="1" a="1"/>
  <c r="X122" i="1" s="1"/>
  <c r="X2" i="1" a="1"/>
  <c r="X2" i="1" s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2" i="1"/>
  <c r="N3" i="1" a="1"/>
  <c r="N3" i="1" s="1"/>
  <c r="N4" i="1" a="1"/>
  <c r="N4" i="1" s="1"/>
  <c r="N5" i="1" a="1"/>
  <c r="N5" i="1" s="1"/>
  <c r="N6" i="1" a="1"/>
  <c r="N6" i="1" s="1"/>
  <c r="N7" i="1" a="1"/>
  <c r="N7" i="1" s="1"/>
  <c r="N8" i="1" a="1"/>
  <c r="N8" i="1" s="1"/>
  <c r="N9" i="1" a="1"/>
  <c r="N9" i="1" s="1"/>
  <c r="N10" i="1" a="1"/>
  <c r="N10" i="1" s="1"/>
  <c r="N11" i="1" a="1"/>
  <c r="N11" i="1" s="1"/>
  <c r="N12" i="1" a="1"/>
  <c r="N12" i="1" s="1"/>
  <c r="N13" i="1" a="1"/>
  <c r="N13" i="1" s="1"/>
  <c r="N14" i="1" a="1"/>
  <c r="N14" i="1" s="1"/>
  <c r="N15" i="1" a="1"/>
  <c r="N15" i="1" s="1"/>
  <c r="N16" i="1" a="1"/>
  <c r="N16" i="1" s="1"/>
  <c r="N17" i="1" a="1"/>
  <c r="N17" i="1" s="1"/>
  <c r="N18" i="1" a="1"/>
  <c r="N18" i="1" s="1"/>
  <c r="N19" i="1" a="1"/>
  <c r="N19" i="1" s="1"/>
  <c r="N20" i="1" a="1"/>
  <c r="N20" i="1" s="1"/>
  <c r="N21" i="1" a="1"/>
  <c r="N21" i="1" s="1"/>
  <c r="N22" i="1" a="1"/>
  <c r="N22" i="1" s="1"/>
  <c r="N23" i="1" a="1"/>
  <c r="N23" i="1" s="1"/>
  <c r="N24" i="1" a="1"/>
  <c r="N24" i="1" s="1"/>
  <c r="N25" i="1" a="1"/>
  <c r="N25" i="1" s="1"/>
  <c r="N26" i="1" a="1"/>
  <c r="N26" i="1" s="1"/>
  <c r="N27" i="1" a="1"/>
  <c r="N27" i="1" s="1"/>
  <c r="N28" i="1" a="1"/>
  <c r="N28" i="1" s="1"/>
  <c r="N29" i="1" a="1"/>
  <c r="N29" i="1" s="1"/>
  <c r="N30" i="1" a="1"/>
  <c r="N30" i="1" s="1"/>
  <c r="N31" i="1" a="1"/>
  <c r="N31" i="1" s="1"/>
  <c r="N32" i="1" a="1"/>
  <c r="N32" i="1" s="1"/>
  <c r="N33" i="1" a="1"/>
  <c r="N33" i="1" s="1"/>
  <c r="N34" i="1" a="1"/>
  <c r="N34" i="1" s="1"/>
  <c r="N35" i="1" a="1"/>
  <c r="N35" i="1" s="1"/>
  <c r="N36" i="1" a="1"/>
  <c r="N36" i="1" s="1"/>
  <c r="N37" i="1" a="1"/>
  <c r="N37" i="1" s="1"/>
  <c r="N38" i="1" a="1"/>
  <c r="N38" i="1" s="1"/>
  <c r="N39" i="1" a="1"/>
  <c r="N39" i="1" s="1"/>
  <c r="N40" i="1" a="1"/>
  <c r="N40" i="1" s="1"/>
  <c r="N41" i="1" a="1"/>
  <c r="N41" i="1" s="1"/>
  <c r="N42" i="1" a="1"/>
  <c r="N42" i="1" s="1"/>
  <c r="N43" i="1" a="1"/>
  <c r="N43" i="1" s="1"/>
  <c r="N44" i="1" a="1"/>
  <c r="N44" i="1" s="1"/>
  <c r="N45" i="1" a="1"/>
  <c r="N45" i="1" s="1"/>
  <c r="N46" i="1" a="1"/>
  <c r="N46" i="1" s="1"/>
  <c r="N47" i="1" a="1"/>
  <c r="N47" i="1" s="1"/>
  <c r="N48" i="1" a="1"/>
  <c r="N48" i="1" s="1"/>
  <c r="N49" i="1" a="1"/>
  <c r="N49" i="1" s="1"/>
  <c r="N50" i="1" a="1"/>
  <c r="N50" i="1" s="1"/>
  <c r="N51" i="1" a="1"/>
  <c r="N51" i="1" s="1"/>
  <c r="N52" i="1" a="1"/>
  <c r="N52" i="1" s="1"/>
  <c r="N53" i="1" a="1"/>
  <c r="N53" i="1" s="1"/>
  <c r="N54" i="1" a="1"/>
  <c r="N54" i="1" s="1"/>
  <c r="N55" i="1" a="1"/>
  <c r="N55" i="1" s="1"/>
  <c r="N56" i="1" a="1"/>
  <c r="N56" i="1" s="1"/>
  <c r="N57" i="1" a="1"/>
  <c r="N57" i="1" s="1"/>
  <c r="N58" i="1" a="1"/>
  <c r="N58" i="1" s="1"/>
  <c r="N59" i="1" a="1"/>
  <c r="N59" i="1" s="1"/>
  <c r="N60" i="1" a="1"/>
  <c r="N60" i="1" s="1"/>
  <c r="N61" i="1" a="1"/>
  <c r="N61" i="1" s="1"/>
  <c r="N62" i="1" a="1"/>
  <c r="N62" i="1" s="1"/>
  <c r="N63" i="1" a="1"/>
  <c r="N63" i="1" s="1"/>
  <c r="N64" i="1" a="1"/>
  <c r="N64" i="1" s="1"/>
  <c r="N65" i="1" a="1"/>
  <c r="N65" i="1" s="1"/>
  <c r="N66" i="1" a="1"/>
  <c r="N66" i="1" s="1"/>
  <c r="N67" i="1" a="1"/>
  <c r="N67" i="1" s="1"/>
  <c r="N68" i="1" a="1"/>
  <c r="N68" i="1" s="1"/>
  <c r="N69" i="1" a="1"/>
  <c r="N69" i="1" s="1"/>
  <c r="N70" i="1" a="1"/>
  <c r="N70" i="1" s="1"/>
  <c r="N71" i="1" a="1"/>
  <c r="N71" i="1" s="1"/>
  <c r="N72" i="1" a="1"/>
  <c r="N72" i="1" s="1"/>
  <c r="N73" i="1" a="1"/>
  <c r="N73" i="1" s="1"/>
  <c r="N74" i="1" a="1"/>
  <c r="N74" i="1" s="1"/>
  <c r="N75" i="1" a="1"/>
  <c r="N75" i="1" s="1"/>
  <c r="N76" i="1" a="1"/>
  <c r="N76" i="1" s="1"/>
  <c r="N77" i="1" a="1"/>
  <c r="N77" i="1" s="1"/>
  <c r="N78" i="1" a="1"/>
  <c r="N78" i="1" s="1"/>
  <c r="N79" i="1" a="1"/>
  <c r="N79" i="1" s="1"/>
  <c r="N80" i="1" a="1"/>
  <c r="N80" i="1" s="1"/>
  <c r="N81" i="1" a="1"/>
  <c r="N81" i="1" s="1"/>
  <c r="N82" i="1" a="1"/>
  <c r="N82" i="1" s="1"/>
  <c r="N83" i="1" a="1"/>
  <c r="N83" i="1" s="1"/>
  <c r="N84" i="1" a="1"/>
  <c r="N84" i="1" s="1"/>
  <c r="N85" i="1" a="1"/>
  <c r="N85" i="1" s="1"/>
  <c r="N86" i="1" a="1"/>
  <c r="N86" i="1" s="1"/>
  <c r="N87" i="1" a="1"/>
  <c r="N87" i="1" s="1"/>
  <c r="N88" i="1" a="1"/>
  <c r="N88" i="1" s="1"/>
  <c r="N89" i="1" a="1"/>
  <c r="N89" i="1" s="1"/>
  <c r="N90" i="1" a="1"/>
  <c r="N90" i="1" s="1"/>
  <c r="N91" i="1" a="1"/>
  <c r="N91" i="1" s="1"/>
  <c r="N92" i="1" a="1"/>
  <c r="N92" i="1" s="1"/>
  <c r="N93" i="1" a="1"/>
  <c r="N93" i="1" s="1"/>
  <c r="N94" i="1" a="1"/>
  <c r="N94" i="1" s="1"/>
  <c r="N95" i="1" a="1"/>
  <c r="N95" i="1" s="1"/>
  <c r="N96" i="1" a="1"/>
  <c r="N96" i="1" s="1"/>
  <c r="N97" i="1" a="1"/>
  <c r="N97" i="1" s="1"/>
  <c r="N98" i="1" a="1"/>
  <c r="N98" i="1" s="1"/>
  <c r="N99" i="1" a="1"/>
  <c r="N99" i="1" s="1"/>
  <c r="N100" i="1" a="1"/>
  <c r="N100" i="1" s="1"/>
  <c r="N101" i="1" a="1"/>
  <c r="N101" i="1" s="1"/>
  <c r="N102" i="1" a="1"/>
  <c r="N102" i="1" s="1"/>
  <c r="N103" i="1" a="1"/>
  <c r="N103" i="1" s="1"/>
  <c r="N104" i="1" a="1"/>
  <c r="N104" i="1" s="1"/>
  <c r="N105" i="1" a="1"/>
  <c r="N105" i="1" s="1"/>
  <c r="N106" i="1" a="1"/>
  <c r="N106" i="1" s="1"/>
  <c r="N107" i="1" a="1"/>
  <c r="N107" i="1" s="1"/>
  <c r="N108" i="1" a="1"/>
  <c r="N108" i="1" s="1"/>
  <c r="N109" i="1" a="1"/>
  <c r="N109" i="1" s="1"/>
  <c r="N110" i="1" a="1"/>
  <c r="N110" i="1" s="1"/>
  <c r="N111" i="1" a="1"/>
  <c r="N111" i="1" s="1"/>
  <c r="N112" i="1" a="1"/>
  <c r="N112" i="1" s="1"/>
  <c r="N113" i="1" a="1"/>
  <c r="N113" i="1" s="1"/>
  <c r="N114" i="1" a="1"/>
  <c r="N114" i="1" s="1"/>
  <c r="N115" i="1" a="1"/>
  <c r="N115" i="1" s="1"/>
  <c r="N116" i="1" a="1"/>
  <c r="N116" i="1" s="1"/>
  <c r="N117" i="1" a="1"/>
  <c r="N117" i="1" s="1"/>
  <c r="N118" i="1" a="1"/>
  <c r="N118" i="1" s="1"/>
  <c r="N119" i="1" a="1"/>
  <c r="N119" i="1" s="1"/>
  <c r="N120" i="1" a="1"/>
  <c r="N120" i="1" s="1"/>
  <c r="N121" i="1" a="1"/>
  <c r="N121" i="1" s="1"/>
  <c r="N122" i="1" a="1"/>
  <c r="N122" i="1" s="1"/>
  <c r="N2" i="1" a="1"/>
  <c r="N2" i="1" s="1"/>
  <c r="M3" i="1" a="1"/>
  <c r="M3" i="1" s="1"/>
  <c r="M4" i="1" a="1"/>
  <c r="M4" i="1" s="1"/>
  <c r="M5" i="1" a="1"/>
  <c r="M5" i="1" s="1"/>
  <c r="M6" i="1" a="1"/>
  <c r="M6" i="1" s="1"/>
  <c r="M7" i="1" a="1"/>
  <c r="M7" i="1" s="1"/>
  <c r="M8" i="1" a="1"/>
  <c r="M8" i="1" s="1"/>
  <c r="M9" i="1" a="1"/>
  <c r="M9" i="1" s="1"/>
  <c r="M10" i="1" a="1"/>
  <c r="M10" i="1" s="1"/>
  <c r="M11" i="1" a="1"/>
  <c r="M11" i="1" s="1"/>
  <c r="M12" i="1" a="1"/>
  <c r="M12" i="1" s="1"/>
  <c r="M13" i="1" a="1"/>
  <c r="M13" i="1" s="1"/>
  <c r="M14" i="1" a="1"/>
  <c r="M14" i="1" s="1"/>
  <c r="M15" i="1" a="1"/>
  <c r="M15" i="1" s="1"/>
  <c r="M16" i="1" a="1"/>
  <c r="M16" i="1" s="1"/>
  <c r="M17" i="1" a="1"/>
  <c r="M17" i="1" s="1"/>
  <c r="M18" i="1" a="1"/>
  <c r="M18" i="1" s="1"/>
  <c r="M19" i="1" a="1"/>
  <c r="M19" i="1" s="1"/>
  <c r="M20" i="1" a="1"/>
  <c r="M20" i="1" s="1"/>
  <c r="M21" i="1" a="1"/>
  <c r="M21" i="1" s="1"/>
  <c r="M22" i="1" a="1"/>
  <c r="M22" i="1" s="1"/>
  <c r="M23" i="1" a="1"/>
  <c r="M23" i="1" s="1"/>
  <c r="M24" i="1" a="1"/>
  <c r="M24" i="1" s="1"/>
  <c r="M25" i="1" a="1"/>
  <c r="M25" i="1" s="1"/>
  <c r="M26" i="1" a="1"/>
  <c r="M26" i="1" s="1"/>
  <c r="M27" i="1" a="1"/>
  <c r="M27" i="1" s="1"/>
  <c r="M28" i="1" a="1"/>
  <c r="M28" i="1" s="1"/>
  <c r="M29" i="1" a="1"/>
  <c r="M29" i="1" s="1"/>
  <c r="M30" i="1" a="1"/>
  <c r="M30" i="1" s="1"/>
  <c r="M31" i="1" a="1"/>
  <c r="M31" i="1" s="1"/>
  <c r="M32" i="1" a="1"/>
  <c r="M32" i="1" s="1"/>
  <c r="M33" i="1" a="1"/>
  <c r="M33" i="1" s="1"/>
  <c r="M34" i="1" a="1"/>
  <c r="M34" i="1" s="1"/>
  <c r="M35" i="1" a="1"/>
  <c r="M35" i="1" s="1"/>
  <c r="M36" i="1" a="1"/>
  <c r="M36" i="1" s="1"/>
  <c r="M37" i="1" a="1"/>
  <c r="M37" i="1" s="1"/>
  <c r="M38" i="1" a="1"/>
  <c r="M38" i="1" s="1"/>
  <c r="M39" i="1" a="1"/>
  <c r="M39" i="1" s="1"/>
  <c r="M40" i="1" a="1"/>
  <c r="M40" i="1" s="1"/>
  <c r="M41" i="1" a="1"/>
  <c r="M41" i="1" s="1"/>
  <c r="M42" i="1" a="1"/>
  <c r="M42" i="1" s="1"/>
  <c r="M43" i="1" a="1"/>
  <c r="M43" i="1" s="1"/>
  <c r="M44" i="1" a="1"/>
  <c r="M44" i="1" s="1"/>
  <c r="M45" i="1" a="1"/>
  <c r="M45" i="1" s="1"/>
  <c r="M46" i="1" a="1"/>
  <c r="M46" i="1" s="1"/>
  <c r="M47" i="1" a="1"/>
  <c r="M47" i="1" s="1"/>
  <c r="M48" i="1" a="1"/>
  <c r="M48" i="1" s="1"/>
  <c r="M49" i="1" a="1"/>
  <c r="M49" i="1" s="1"/>
  <c r="M50" i="1" a="1"/>
  <c r="M50" i="1" s="1"/>
  <c r="M51" i="1" a="1"/>
  <c r="M51" i="1" s="1"/>
  <c r="M52" i="1" a="1"/>
  <c r="M52" i="1" s="1"/>
  <c r="M53" i="1" a="1"/>
  <c r="M53" i="1" s="1"/>
  <c r="M54" i="1" a="1"/>
  <c r="M54" i="1" s="1"/>
  <c r="M55" i="1" a="1"/>
  <c r="M55" i="1" s="1"/>
  <c r="M56" i="1" a="1"/>
  <c r="M56" i="1" s="1"/>
  <c r="M57" i="1" a="1"/>
  <c r="M57" i="1" s="1"/>
  <c r="M58" i="1" a="1"/>
  <c r="M58" i="1" s="1"/>
  <c r="M59" i="1" a="1"/>
  <c r="M59" i="1" s="1"/>
  <c r="M60" i="1" a="1"/>
  <c r="M60" i="1" s="1"/>
  <c r="M61" i="1" a="1"/>
  <c r="M61" i="1" s="1"/>
  <c r="M62" i="1" a="1"/>
  <c r="M62" i="1" s="1"/>
  <c r="M63" i="1" a="1"/>
  <c r="M63" i="1" s="1"/>
  <c r="M64" i="1" a="1"/>
  <c r="M64" i="1" s="1"/>
  <c r="M65" i="1" a="1"/>
  <c r="M65" i="1" s="1"/>
  <c r="M66" i="1" a="1"/>
  <c r="M66" i="1" s="1"/>
  <c r="M67" i="1" a="1"/>
  <c r="M67" i="1" s="1"/>
  <c r="M68" i="1" a="1"/>
  <c r="M68" i="1" s="1"/>
  <c r="M69" i="1" a="1"/>
  <c r="M69" i="1" s="1"/>
  <c r="M70" i="1" a="1"/>
  <c r="M70" i="1" s="1"/>
  <c r="M71" i="1" a="1"/>
  <c r="M71" i="1" s="1"/>
  <c r="M72" i="1" a="1"/>
  <c r="M72" i="1" s="1"/>
  <c r="M73" i="1" a="1"/>
  <c r="M73" i="1" s="1"/>
  <c r="M74" i="1" a="1"/>
  <c r="M74" i="1" s="1"/>
  <c r="M75" i="1" a="1"/>
  <c r="M75" i="1" s="1"/>
  <c r="M76" i="1" a="1"/>
  <c r="M76" i="1" s="1"/>
  <c r="M77" i="1" a="1"/>
  <c r="M77" i="1" s="1"/>
  <c r="M78" i="1" a="1"/>
  <c r="M78" i="1" s="1"/>
  <c r="M79" i="1" a="1"/>
  <c r="M79" i="1" s="1"/>
  <c r="M80" i="1" a="1"/>
  <c r="M80" i="1" s="1"/>
  <c r="M81" i="1" a="1"/>
  <c r="M81" i="1" s="1"/>
  <c r="M82" i="1" a="1"/>
  <c r="M82" i="1" s="1"/>
  <c r="M83" i="1" a="1"/>
  <c r="M83" i="1" s="1"/>
  <c r="M84" i="1" a="1"/>
  <c r="M84" i="1" s="1"/>
  <c r="M85" i="1" a="1"/>
  <c r="M85" i="1" s="1"/>
  <c r="M86" i="1" a="1"/>
  <c r="M86" i="1" s="1"/>
  <c r="M87" i="1" a="1"/>
  <c r="M87" i="1" s="1"/>
  <c r="M88" i="1" a="1"/>
  <c r="M88" i="1" s="1"/>
  <c r="M89" i="1" a="1"/>
  <c r="M89" i="1" s="1"/>
  <c r="M90" i="1" a="1"/>
  <c r="M90" i="1" s="1"/>
  <c r="M91" i="1" a="1"/>
  <c r="M91" i="1" s="1"/>
  <c r="M92" i="1" a="1"/>
  <c r="M92" i="1" s="1"/>
  <c r="M93" i="1" a="1"/>
  <c r="M93" i="1" s="1"/>
  <c r="M94" i="1" a="1"/>
  <c r="M94" i="1" s="1"/>
  <c r="M95" i="1" a="1"/>
  <c r="M95" i="1" s="1"/>
  <c r="M96" i="1" a="1"/>
  <c r="M96" i="1" s="1"/>
  <c r="M97" i="1" a="1"/>
  <c r="M97" i="1" s="1"/>
  <c r="M98" i="1" a="1"/>
  <c r="M98" i="1" s="1"/>
  <c r="M99" i="1" a="1"/>
  <c r="M99" i="1" s="1"/>
  <c r="M100" i="1" a="1"/>
  <c r="M100" i="1" s="1"/>
  <c r="M101" i="1" a="1"/>
  <c r="M101" i="1" s="1"/>
  <c r="M102" i="1" a="1"/>
  <c r="M102" i="1" s="1"/>
  <c r="M103" i="1" a="1"/>
  <c r="M103" i="1" s="1"/>
  <c r="M104" i="1" a="1"/>
  <c r="M104" i="1" s="1"/>
  <c r="M105" i="1" a="1"/>
  <c r="M105" i="1" s="1"/>
  <c r="M106" i="1" a="1"/>
  <c r="M106" i="1" s="1"/>
  <c r="M107" i="1" a="1"/>
  <c r="M107" i="1" s="1"/>
  <c r="M108" i="1" a="1"/>
  <c r="M108" i="1" s="1"/>
  <c r="M109" i="1" a="1"/>
  <c r="M109" i="1" s="1"/>
  <c r="M110" i="1" a="1"/>
  <c r="M110" i="1" s="1"/>
  <c r="M111" i="1" a="1"/>
  <c r="M111" i="1" s="1"/>
  <c r="M112" i="1" a="1"/>
  <c r="M112" i="1" s="1"/>
  <c r="M113" i="1" a="1"/>
  <c r="M113" i="1" s="1"/>
  <c r="M114" i="1" a="1"/>
  <c r="M114" i="1" s="1"/>
  <c r="M115" i="1" a="1"/>
  <c r="M115" i="1" s="1"/>
  <c r="M116" i="1" a="1"/>
  <c r="M116" i="1" s="1"/>
  <c r="M117" i="1" a="1"/>
  <c r="M117" i="1" s="1"/>
  <c r="M118" i="1" a="1"/>
  <c r="M118" i="1" s="1"/>
  <c r="M119" i="1" a="1"/>
  <c r="M119" i="1" s="1"/>
  <c r="M120" i="1" a="1"/>
  <c r="M120" i="1" s="1"/>
  <c r="M121" i="1" a="1"/>
  <c r="M121" i="1" s="1"/>
  <c r="M122" i="1" a="1"/>
  <c r="M122" i="1" s="1"/>
  <c r="M2" i="1" a="1"/>
  <c r="M2" i="1" s="1"/>
  <c r="L3" i="1" a="1"/>
  <c r="L3" i="1" s="1"/>
  <c r="L4" i="1" a="1"/>
  <c r="L4" i="1" s="1"/>
  <c r="L5" i="1" a="1"/>
  <c r="L5" i="1" s="1"/>
  <c r="L6" i="1" a="1"/>
  <c r="L6" i="1" s="1"/>
  <c r="L7" i="1" a="1"/>
  <c r="L7" i="1" s="1"/>
  <c r="L8" i="1" a="1"/>
  <c r="L8" i="1" s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L17" i="1" a="1"/>
  <c r="L17" i="1" s="1"/>
  <c r="L18" i="1" a="1"/>
  <c r="L18" i="1" s="1"/>
  <c r="L19" i="1" a="1"/>
  <c r="L19" i="1" s="1"/>
  <c r="L20" i="1" a="1"/>
  <c r="L20" i="1" s="1"/>
  <c r="L21" i="1" a="1"/>
  <c r="L21" i="1" s="1"/>
  <c r="L22" i="1" a="1"/>
  <c r="L22" i="1" s="1"/>
  <c r="L23" i="1" a="1"/>
  <c r="L23" i="1" s="1"/>
  <c r="L24" i="1" a="1"/>
  <c r="L24" i="1" s="1"/>
  <c r="L25" i="1" a="1"/>
  <c r="L25" i="1" s="1"/>
  <c r="L26" i="1" a="1"/>
  <c r="L26" i="1" s="1"/>
  <c r="L27" i="1" a="1"/>
  <c r="L27" i="1" s="1"/>
  <c r="L28" i="1" a="1"/>
  <c r="L28" i="1" s="1"/>
  <c r="L29" i="1" a="1"/>
  <c r="L29" i="1" s="1"/>
  <c r="L30" i="1" a="1"/>
  <c r="L30" i="1" s="1"/>
  <c r="L31" i="1" a="1"/>
  <c r="L31" i="1" s="1"/>
  <c r="L32" i="1" a="1"/>
  <c r="L32" i="1" s="1"/>
  <c r="L33" i="1" a="1"/>
  <c r="L33" i="1" s="1"/>
  <c r="L34" i="1" a="1"/>
  <c r="L34" i="1" s="1"/>
  <c r="L35" i="1" a="1"/>
  <c r="L35" i="1" s="1"/>
  <c r="L36" i="1" a="1"/>
  <c r="L36" i="1" s="1"/>
  <c r="L37" i="1" a="1"/>
  <c r="L37" i="1" s="1"/>
  <c r="L38" i="1" a="1"/>
  <c r="L38" i="1" s="1"/>
  <c r="L39" i="1" a="1"/>
  <c r="L39" i="1" s="1"/>
  <c r="L40" i="1" a="1"/>
  <c r="L40" i="1" s="1"/>
  <c r="L41" i="1" a="1"/>
  <c r="L41" i="1" s="1"/>
  <c r="L42" i="1" a="1"/>
  <c r="L42" i="1" s="1"/>
  <c r="L43" i="1" a="1"/>
  <c r="L43" i="1" s="1"/>
  <c r="L44" i="1" a="1"/>
  <c r="L44" i="1" s="1"/>
  <c r="L45" i="1" a="1"/>
  <c r="L45" i="1" s="1"/>
  <c r="L46" i="1" a="1"/>
  <c r="L46" i="1" s="1"/>
  <c r="L47" i="1" a="1"/>
  <c r="L47" i="1" s="1"/>
  <c r="L48" i="1" a="1"/>
  <c r="L48" i="1" s="1"/>
  <c r="L49" i="1" a="1"/>
  <c r="L49" i="1" s="1"/>
  <c r="L50" i="1" a="1"/>
  <c r="L50" i="1" s="1"/>
  <c r="L51" i="1" a="1"/>
  <c r="L51" i="1" s="1"/>
  <c r="L52" i="1" a="1"/>
  <c r="L52" i="1" s="1"/>
  <c r="L53" i="1" a="1"/>
  <c r="L53" i="1" s="1"/>
  <c r="L54" i="1" a="1"/>
  <c r="L54" i="1" s="1"/>
  <c r="L55" i="1" a="1"/>
  <c r="L55" i="1" s="1"/>
  <c r="L56" i="1" a="1"/>
  <c r="L56" i="1" s="1"/>
  <c r="L57" i="1" a="1"/>
  <c r="L57" i="1" s="1"/>
  <c r="L58" i="1" a="1"/>
  <c r="L58" i="1" s="1"/>
  <c r="L59" i="1" a="1"/>
  <c r="L59" i="1" s="1"/>
  <c r="L60" i="1" a="1"/>
  <c r="L60" i="1" s="1"/>
  <c r="L61" i="1" a="1"/>
  <c r="L61" i="1" s="1"/>
  <c r="L62" i="1" a="1"/>
  <c r="L62" i="1" s="1"/>
  <c r="L63" i="1" a="1"/>
  <c r="L63" i="1" s="1"/>
  <c r="L64" i="1" a="1"/>
  <c r="L64" i="1" s="1"/>
  <c r="L65" i="1" a="1"/>
  <c r="L65" i="1" s="1"/>
  <c r="L66" i="1" a="1"/>
  <c r="L66" i="1" s="1"/>
  <c r="L67" i="1" a="1"/>
  <c r="L67" i="1" s="1"/>
  <c r="L68" i="1" a="1"/>
  <c r="L68" i="1" s="1"/>
  <c r="L69" i="1" a="1"/>
  <c r="L69" i="1" s="1"/>
  <c r="L70" i="1" a="1"/>
  <c r="L70" i="1" s="1"/>
  <c r="L71" i="1" a="1"/>
  <c r="L71" i="1" s="1"/>
  <c r="L72" i="1" a="1"/>
  <c r="L72" i="1" s="1"/>
  <c r="L73" i="1" a="1"/>
  <c r="L73" i="1" s="1"/>
  <c r="L74" i="1" a="1"/>
  <c r="L74" i="1" s="1"/>
  <c r="L75" i="1" a="1"/>
  <c r="L75" i="1" s="1"/>
  <c r="L76" i="1" a="1"/>
  <c r="L76" i="1" s="1"/>
  <c r="L77" i="1" a="1"/>
  <c r="L77" i="1" s="1"/>
  <c r="L78" i="1" a="1"/>
  <c r="L78" i="1" s="1"/>
  <c r="L79" i="1" a="1"/>
  <c r="L79" i="1" s="1"/>
  <c r="L80" i="1" a="1"/>
  <c r="L80" i="1" s="1"/>
  <c r="L81" i="1" a="1"/>
  <c r="L81" i="1" s="1"/>
  <c r="L82" i="1" a="1"/>
  <c r="L82" i="1" s="1"/>
  <c r="L83" i="1" a="1"/>
  <c r="L83" i="1" s="1"/>
  <c r="L84" i="1" a="1"/>
  <c r="L84" i="1" s="1"/>
  <c r="L85" i="1" a="1"/>
  <c r="L85" i="1" s="1"/>
  <c r="L86" i="1" a="1"/>
  <c r="L86" i="1" s="1"/>
  <c r="L87" i="1" a="1"/>
  <c r="L87" i="1" s="1"/>
  <c r="L88" i="1" a="1"/>
  <c r="L88" i="1" s="1"/>
  <c r="L89" i="1" a="1"/>
  <c r="L89" i="1" s="1"/>
  <c r="L90" i="1" a="1"/>
  <c r="L90" i="1" s="1"/>
  <c r="L91" i="1" a="1"/>
  <c r="L91" i="1" s="1"/>
  <c r="L92" i="1" a="1"/>
  <c r="L92" i="1" s="1"/>
  <c r="L93" i="1" a="1"/>
  <c r="L93" i="1" s="1"/>
  <c r="L94" i="1" a="1"/>
  <c r="L94" i="1" s="1"/>
  <c r="L95" i="1" a="1"/>
  <c r="L95" i="1" s="1"/>
  <c r="L96" i="1" a="1"/>
  <c r="L96" i="1" s="1"/>
  <c r="L97" i="1" a="1"/>
  <c r="L97" i="1" s="1"/>
  <c r="L98" i="1" a="1"/>
  <c r="L98" i="1" s="1"/>
  <c r="L99" i="1" a="1"/>
  <c r="L99" i="1" s="1"/>
  <c r="L100" i="1" a="1"/>
  <c r="L100" i="1" s="1"/>
  <c r="L101" i="1" a="1"/>
  <c r="L101" i="1" s="1"/>
  <c r="L102" i="1" a="1"/>
  <c r="L102" i="1" s="1"/>
  <c r="L103" i="1" a="1"/>
  <c r="L103" i="1" s="1"/>
  <c r="L104" i="1" a="1"/>
  <c r="L104" i="1" s="1"/>
  <c r="L105" i="1" a="1"/>
  <c r="L105" i="1" s="1"/>
  <c r="L106" i="1" a="1"/>
  <c r="L106" i="1" s="1"/>
  <c r="L107" i="1" a="1"/>
  <c r="L107" i="1" s="1"/>
  <c r="L108" i="1" a="1"/>
  <c r="L108" i="1" s="1"/>
  <c r="L109" i="1" a="1"/>
  <c r="L109" i="1" s="1"/>
  <c r="L110" i="1" a="1"/>
  <c r="L110" i="1" s="1"/>
  <c r="L111" i="1" a="1"/>
  <c r="L111" i="1" s="1"/>
  <c r="L112" i="1" a="1"/>
  <c r="L112" i="1" s="1"/>
  <c r="L113" i="1" a="1"/>
  <c r="L113" i="1" s="1"/>
  <c r="L114" i="1" a="1"/>
  <c r="L114" i="1" s="1"/>
  <c r="L115" i="1" a="1"/>
  <c r="L115" i="1" s="1"/>
  <c r="L116" i="1" a="1"/>
  <c r="L116" i="1" s="1"/>
  <c r="L117" i="1" a="1"/>
  <c r="L117" i="1" s="1"/>
  <c r="L118" i="1" a="1"/>
  <c r="L118" i="1" s="1"/>
  <c r="L119" i="1" a="1"/>
  <c r="L119" i="1" s="1"/>
  <c r="L120" i="1" a="1"/>
  <c r="L120" i="1" s="1"/>
  <c r="L121" i="1" a="1"/>
  <c r="L121" i="1" s="1"/>
  <c r="L122" i="1" a="1"/>
  <c r="L122" i="1" s="1"/>
  <c r="L2" i="1" a="1"/>
  <c r="L2" i="1" s="1"/>
  <c r="K3" i="1" a="1"/>
  <c r="K3" i="1" s="1"/>
  <c r="K4" i="1" a="1"/>
  <c r="K4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16" i="1" a="1"/>
  <c r="K16" i="1" s="1"/>
  <c r="K17" i="1" a="1"/>
  <c r="K17" i="1" s="1"/>
  <c r="K18" i="1" a="1"/>
  <c r="K18" i="1" s="1"/>
  <c r="K19" i="1" a="1"/>
  <c r="K19" i="1" s="1"/>
  <c r="K20" i="1" a="1"/>
  <c r="K20" i="1" s="1"/>
  <c r="K21" i="1" a="1"/>
  <c r="K21" i="1" s="1"/>
  <c r="K22" i="1" a="1"/>
  <c r="K22" i="1" s="1"/>
  <c r="K23" i="1" a="1"/>
  <c r="K23" i="1" s="1"/>
  <c r="K24" i="1" a="1"/>
  <c r="K24" i="1" s="1"/>
  <c r="K25" i="1" a="1"/>
  <c r="K25" i="1" s="1"/>
  <c r="K26" i="1" a="1"/>
  <c r="K26" i="1" s="1"/>
  <c r="K27" i="1" a="1"/>
  <c r="K27" i="1" s="1"/>
  <c r="K28" i="1" a="1"/>
  <c r="K28" i="1" s="1"/>
  <c r="K29" i="1" a="1"/>
  <c r="K29" i="1" s="1"/>
  <c r="K30" i="1" a="1"/>
  <c r="K30" i="1" s="1"/>
  <c r="K31" i="1" a="1"/>
  <c r="K31" i="1" s="1"/>
  <c r="K32" i="1" a="1"/>
  <c r="K32" i="1" s="1"/>
  <c r="K33" i="1" a="1"/>
  <c r="K33" i="1" s="1"/>
  <c r="K34" i="1" a="1"/>
  <c r="K34" i="1" s="1"/>
  <c r="K35" i="1" a="1"/>
  <c r="K35" i="1" s="1"/>
  <c r="K36" i="1" a="1"/>
  <c r="K36" i="1" s="1"/>
  <c r="K37" i="1" a="1"/>
  <c r="K37" i="1" s="1"/>
  <c r="K38" i="1" a="1"/>
  <c r="K38" i="1" s="1"/>
  <c r="K39" i="1" a="1"/>
  <c r="K39" i="1" s="1"/>
  <c r="K40" i="1" a="1"/>
  <c r="K40" i="1" s="1"/>
  <c r="K41" i="1" a="1"/>
  <c r="K41" i="1" s="1"/>
  <c r="K42" i="1" a="1"/>
  <c r="K42" i="1" s="1"/>
  <c r="K43" i="1" a="1"/>
  <c r="K43" i="1" s="1"/>
  <c r="K44" i="1" a="1"/>
  <c r="K44" i="1" s="1"/>
  <c r="K45" i="1" a="1"/>
  <c r="K45" i="1" s="1"/>
  <c r="K46" i="1" a="1"/>
  <c r="K46" i="1" s="1"/>
  <c r="K47" i="1" a="1"/>
  <c r="K47" i="1" s="1"/>
  <c r="K48" i="1" a="1"/>
  <c r="K48" i="1" s="1"/>
  <c r="K49" i="1" a="1"/>
  <c r="K49" i="1" s="1"/>
  <c r="K50" i="1" a="1"/>
  <c r="K50" i="1" s="1"/>
  <c r="K51" i="1" a="1"/>
  <c r="K51" i="1" s="1"/>
  <c r="K52" i="1" a="1"/>
  <c r="K52" i="1" s="1"/>
  <c r="K53" i="1" a="1"/>
  <c r="K53" i="1" s="1"/>
  <c r="K54" i="1" a="1"/>
  <c r="K54" i="1" s="1"/>
  <c r="K55" i="1" a="1"/>
  <c r="K55" i="1" s="1"/>
  <c r="K56" i="1" a="1"/>
  <c r="K56" i="1" s="1"/>
  <c r="K57" i="1" a="1"/>
  <c r="K57" i="1" s="1"/>
  <c r="K58" i="1" a="1"/>
  <c r="K58" i="1" s="1"/>
  <c r="K59" i="1" a="1"/>
  <c r="K59" i="1" s="1"/>
  <c r="K60" i="1" a="1"/>
  <c r="K60" i="1" s="1"/>
  <c r="K61" i="1" a="1"/>
  <c r="K61" i="1" s="1"/>
  <c r="K62" i="1" a="1"/>
  <c r="K62" i="1" s="1"/>
  <c r="K63" i="1" a="1"/>
  <c r="K63" i="1" s="1"/>
  <c r="K64" i="1" a="1"/>
  <c r="K64" i="1" s="1"/>
  <c r="K65" i="1" a="1"/>
  <c r="K65" i="1" s="1"/>
  <c r="K66" i="1" a="1"/>
  <c r="K66" i="1" s="1"/>
  <c r="K67" i="1" a="1"/>
  <c r="K67" i="1" s="1"/>
  <c r="K68" i="1" a="1"/>
  <c r="K68" i="1" s="1"/>
  <c r="K69" i="1" a="1"/>
  <c r="K69" i="1" s="1"/>
  <c r="K70" i="1" a="1"/>
  <c r="K70" i="1" s="1"/>
  <c r="K71" i="1" a="1"/>
  <c r="K71" i="1" s="1"/>
  <c r="K72" i="1" a="1"/>
  <c r="K72" i="1" s="1"/>
  <c r="K73" i="1" a="1"/>
  <c r="K73" i="1" s="1"/>
  <c r="K74" i="1" a="1"/>
  <c r="K74" i="1" s="1"/>
  <c r="K75" i="1" a="1"/>
  <c r="K75" i="1" s="1"/>
  <c r="K76" i="1" a="1"/>
  <c r="K76" i="1" s="1"/>
  <c r="K77" i="1" a="1"/>
  <c r="K77" i="1" s="1"/>
  <c r="K78" i="1" a="1"/>
  <c r="K78" i="1" s="1"/>
  <c r="K79" i="1" a="1"/>
  <c r="K79" i="1" s="1"/>
  <c r="K80" i="1" a="1"/>
  <c r="K80" i="1" s="1"/>
  <c r="K81" i="1" a="1"/>
  <c r="K81" i="1" s="1"/>
  <c r="K82" i="1" a="1"/>
  <c r="K82" i="1" s="1"/>
  <c r="K83" i="1" a="1"/>
  <c r="K83" i="1" s="1"/>
  <c r="K84" i="1" a="1"/>
  <c r="K84" i="1" s="1"/>
  <c r="K85" i="1" a="1"/>
  <c r="K85" i="1" s="1"/>
  <c r="K86" i="1" a="1"/>
  <c r="K86" i="1" s="1"/>
  <c r="K87" i="1" a="1"/>
  <c r="K87" i="1" s="1"/>
  <c r="K88" i="1" a="1"/>
  <c r="K88" i="1" s="1"/>
  <c r="K89" i="1" a="1"/>
  <c r="K89" i="1" s="1"/>
  <c r="K90" i="1" a="1"/>
  <c r="K90" i="1" s="1"/>
  <c r="K91" i="1" a="1"/>
  <c r="K91" i="1" s="1"/>
  <c r="K92" i="1" a="1"/>
  <c r="K92" i="1" s="1"/>
  <c r="K93" i="1" a="1"/>
  <c r="K93" i="1" s="1"/>
  <c r="K94" i="1" a="1"/>
  <c r="K94" i="1" s="1"/>
  <c r="K95" i="1" a="1"/>
  <c r="K95" i="1" s="1"/>
  <c r="K96" i="1" a="1"/>
  <c r="K96" i="1" s="1"/>
  <c r="K97" i="1" a="1"/>
  <c r="K97" i="1" s="1"/>
  <c r="K98" i="1" a="1"/>
  <c r="K98" i="1" s="1"/>
  <c r="K99" i="1" a="1"/>
  <c r="K99" i="1" s="1"/>
  <c r="K100" i="1" a="1"/>
  <c r="K100" i="1" s="1"/>
  <c r="K101" i="1" a="1"/>
  <c r="K101" i="1" s="1"/>
  <c r="K102" i="1" a="1"/>
  <c r="K102" i="1" s="1"/>
  <c r="K103" i="1" a="1"/>
  <c r="K103" i="1" s="1"/>
  <c r="K104" i="1" a="1"/>
  <c r="K104" i="1" s="1"/>
  <c r="K105" i="1" a="1"/>
  <c r="K105" i="1" s="1"/>
  <c r="K106" i="1" a="1"/>
  <c r="K106" i="1" s="1"/>
  <c r="K107" i="1" a="1"/>
  <c r="K107" i="1" s="1"/>
  <c r="K108" i="1" a="1"/>
  <c r="K108" i="1" s="1"/>
  <c r="K109" i="1" a="1"/>
  <c r="K109" i="1" s="1"/>
  <c r="K110" i="1" a="1"/>
  <c r="K110" i="1" s="1"/>
  <c r="K111" i="1" a="1"/>
  <c r="K111" i="1" s="1"/>
  <c r="K112" i="1" a="1"/>
  <c r="K112" i="1" s="1"/>
  <c r="K113" i="1" a="1"/>
  <c r="K113" i="1" s="1"/>
  <c r="K114" i="1" a="1"/>
  <c r="K114" i="1" s="1"/>
  <c r="K115" i="1" a="1"/>
  <c r="K115" i="1" s="1"/>
  <c r="K116" i="1" a="1"/>
  <c r="K116" i="1" s="1"/>
  <c r="K117" i="1" a="1"/>
  <c r="K117" i="1" s="1"/>
  <c r="K118" i="1" a="1"/>
  <c r="K118" i="1" s="1"/>
  <c r="K119" i="1" a="1"/>
  <c r="K119" i="1" s="1"/>
  <c r="K120" i="1" a="1"/>
  <c r="K120" i="1" s="1"/>
  <c r="K121" i="1" a="1"/>
  <c r="K121" i="1" s="1"/>
  <c r="K122" i="1" a="1"/>
  <c r="K122" i="1" s="1"/>
  <c r="K2" i="1" a="1"/>
  <c r="K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<sst xmlns="http://schemas.openxmlformats.org/spreadsheetml/2006/main" count="1240" uniqueCount="656">
  <si>
    <t>STT</t>
  </si>
  <si>
    <t>Họ và tên</t>
  </si>
  <si>
    <t>Ngày sinh</t>
  </si>
  <si>
    <t>Số điện thoại - Email</t>
  </si>
  <si>
    <t>Vị trí</t>
  </si>
  <si>
    <t>Cấp trên trực tiếp</t>
  </si>
  <si>
    <t>Ngày bắt đầu làm việc</t>
  </si>
  <si>
    <t>Nơi làm việc</t>
  </si>
  <si>
    <t>Nguyễn Anh Tuấn</t>
  </si>
  <si>
    <t>05/01/1982</t>
  </si>
  <si>
    <t>Phó TGĐ Chiến lược</t>
  </si>
  <si>
    <t>BLĐ</t>
  </si>
  <si>
    <t>Hoàng Thị Lệ Hằng</t>
  </si>
  <si>
    <t>Thứ Hai, ngày 13/10/2025</t>
  </si>
  <si>
    <t>76 Giảng Võ</t>
  </si>
  <si>
    <t>MT</t>
  </si>
  <si>
    <t>Phạm Trần Khánh Linh</t>
  </si>
  <si>
    <t>23/08/2003</t>
  </si>
  <si>
    <t>0862 937 961 -khanhlinh.pt.forwork@gmail.com</t>
  </si>
  <si>
    <t>Nhân viên Phụ trách Sản phẩm (PS)</t>
  </si>
  <si>
    <t>Phòng Dự Án</t>
  </si>
  <si>
    <t>Hoàng Thị Trâm</t>
  </si>
  <si>
    <t>Thứ Hai, ngày 15/09/2024</t>
  </si>
  <si>
    <t>Lê Diệu Liên</t>
  </si>
  <si>
    <t>09/04/2000</t>
  </si>
  <si>
    <t>0984 329 673 -lienlien090400@gmail.com</t>
  </si>
  <si>
    <t>Nhân viên Hỗ trợ Kinh doanh(Thời vụ)</t>
  </si>
  <si>
    <t>Phòng KD TH</t>
  </si>
  <si>
    <t>Cù Thu Yến</t>
  </si>
  <si>
    <t>Thứ Hai, ngày 29/09/2024</t>
  </si>
  <si>
    <t>TH</t>
  </si>
  <si>
    <t>Vũ Bá Tuấn Cường</t>
  </si>
  <si>
    <t>23/06/2004</t>
  </si>
  <si>
    <t>0373 971 926 -vubatuancuong2306@gmail.com</t>
  </si>
  <si>
    <t>Nhân viên Lập trình phần mềm - LIS</t>
  </si>
  <si>
    <t>IOLIS</t>
  </si>
  <si>
    <t>Uông Hướng Dương</t>
  </si>
  <si>
    <t>Thứ Hai, ngày 16/03/2026</t>
  </si>
  <si>
    <t>NHS</t>
  </si>
  <si>
    <t>LKĐC</t>
  </si>
  <si>
    <t>Nguyễn Lương Thế Phương</t>
  </si>
  <si>
    <t>08/11/2003</t>
  </si>
  <si>
    <t>0837 728 186 -nguyenluongthephuong14@gmail.com</t>
  </si>
  <si>
    <t>Nguyễn Minh Phương</t>
  </si>
  <si>
    <t>08/03/2003</t>
  </si>
  <si>
    <t>0833 545 558 -nguyenphuong832003@gmail.com</t>
  </si>
  <si>
    <t>Thực tập sinh Phân tích nghiệp vụ (BA)</t>
  </si>
  <si>
    <t>LIS</t>
  </si>
  <si>
    <t>Vũ Thế Thắng</t>
  </si>
  <si>
    <t>Thứ Tư, ngày 23/07/2025</t>
  </si>
  <si>
    <t>Phạm Quang Huy</t>
  </si>
  <si>
    <t>03/03/1999</t>
  </si>
  <si>
    <t>0335 363 638 -huypham331999@gmail.com</t>
  </si>
  <si>
    <t>Nhân viên Kinh doanh (Sale)</t>
  </si>
  <si>
    <t>SHMD</t>
  </si>
  <si>
    <t>Đỗ Thị Minh Trang</t>
  </si>
  <si>
    <t>Thứ Hai, ngày 04/08/2025</t>
  </si>
  <si>
    <t>Lê Thị Quỳnh Nga</t>
  </si>
  <si>
    <t>30/06/2002</t>
  </si>
  <si>
    <t>0912 655 372 -quynhngahup02@gmail.com</t>
  </si>
  <si>
    <t>Nhân viên Phát triển Địa bàn (PA)</t>
  </si>
  <si>
    <t>MKT</t>
  </si>
  <si>
    <t>Đào Thị Yến</t>
  </si>
  <si>
    <t>Đỗ Thị Thùy Linh</t>
  </si>
  <si>
    <t>14/08/1996</t>
  </si>
  <si>
    <t>0369 132 487 -thuylinhdo148@gmail.com</t>
  </si>
  <si>
    <t>Nhân viên Phân tích Tài chính</t>
  </si>
  <si>
    <t>Tài chính</t>
  </si>
  <si>
    <t>Nguyễn Thị Hường</t>
  </si>
  <si>
    <t>Thứ Ba, ngày 05/08/2025</t>
  </si>
  <si>
    <t>NP</t>
  </si>
  <si>
    <t>Dương Thị Hồng</t>
  </si>
  <si>
    <t>15/11/1988</t>
  </si>
  <si>
    <t>0988 395 365 -duongnu.1518@gmail.com</t>
  </si>
  <si>
    <t>Nhân viên Dự án</t>
  </si>
  <si>
    <t>Dự án</t>
  </si>
  <si>
    <t>Chu Thị Phương</t>
  </si>
  <si>
    <t>Nguyễn Trọng Nguyên</t>
  </si>
  <si>
    <t>29/11/1996</t>
  </si>
  <si>
    <t>0346 719 669 -trongnguyen1996@gmail.com</t>
  </si>
  <si>
    <t>CNSH</t>
  </si>
  <si>
    <t>Nguyễn Bảo Long</t>
  </si>
  <si>
    <t>Thứ Ba, ngày 12/08/2025</t>
  </si>
  <si>
    <t>Lê Thanh Tùng</t>
  </si>
  <si>
    <t>24/04/1999</t>
  </si>
  <si>
    <t>0962 444 267 -thtungcvalik26@gmail.com</t>
  </si>
  <si>
    <t>Nhân viên Tư vấn Giải pháp Thông minh SmartLab</t>
  </si>
  <si>
    <t>SML&amp;TPT</t>
  </si>
  <si>
    <t>Nguyễn Thế Quân</t>
  </si>
  <si>
    <t>Đào Duy Minh</t>
  </si>
  <si>
    <t>07/09/2001</t>
  </si>
  <si>
    <t>0333 378 389 -daoduyminh70@gmail.com</t>
  </si>
  <si>
    <t>Thực tập sinh Marketing</t>
  </si>
  <si>
    <t>MKT CNSH</t>
  </si>
  <si>
    <t>Thứ Tư, ngày 13/08/2025</t>
  </si>
  <si>
    <t>Phạm Ngọc Thành</t>
  </si>
  <si>
    <t>16/02/1999</t>
  </si>
  <si>
    <t>0399 967 397-lb.pnt1602@gmail.com</t>
  </si>
  <si>
    <t>KD Thanh Hà</t>
  </si>
  <si>
    <t>Nguyễn Thị Diệu Linh</t>
  </si>
  <si>
    <t>Thứ Hai, ngày 18/08/2025</t>
  </si>
  <si>
    <t>Lê Thị Phương</t>
  </si>
  <si>
    <t>30/04/2003</t>
  </si>
  <si>
    <t>0384 618 090 -lephuong30042003@gmail.com</t>
  </si>
  <si>
    <t>Thực tập sinh Nhân sự</t>
  </si>
  <si>
    <t>HR</t>
  </si>
  <si>
    <t>Nguyễn Thị Ngọc Hà</t>
  </si>
  <si>
    <t>Trần Thị Ngọc</t>
  </si>
  <si>
    <t>25/04/1999</t>
  </si>
  <si>
    <t>0347 924 972 -tranngoc709599@gmail.com</t>
  </si>
  <si>
    <t>Nhân viên Dự trù hàng</t>
  </si>
  <si>
    <t>Mua hàng</t>
  </si>
  <si>
    <t>Phạm Thị Thảo</t>
  </si>
  <si>
    <t>Thứ Ba, ngày 19/08/2025</t>
  </si>
  <si>
    <t>Chu Phương Thảo</t>
  </si>
  <si>
    <t>26/10/1998</t>
  </si>
  <si>
    <t>0981 014 891 -chuphuongthao2610@gmail.com</t>
  </si>
  <si>
    <t>Nhân viên Truyền thông</t>
  </si>
  <si>
    <t>Marcom</t>
  </si>
  <si>
    <t>Vũ Diệp Linh</t>
  </si>
  <si>
    <t>Hoàng Thị Oanh</t>
  </si>
  <si>
    <t>26/02/2002</t>
  </si>
  <si>
    <t>0378 495 249 -hoangoanhhbg@gmail.com</t>
  </si>
  <si>
    <t>Nhân viên Kiểm thử phần mềm - LIS</t>
  </si>
  <si>
    <t>Phòng LIS</t>
  </si>
  <si>
    <t>Thứ Tư, ngày 20/08/2025</t>
  </si>
  <si>
    <t>VT</t>
  </si>
  <si>
    <t>Phạm Gia Khiêm</t>
  </si>
  <si>
    <t>02/06/2000</t>
  </si>
  <si>
    <t>0912 641 496 -Khiempro0206@gmail.com</t>
  </si>
  <si>
    <t>Nhân viên Cài đặt Ứng dụng Sản phẩm</t>
  </si>
  <si>
    <t>ƯDSP</t>
  </si>
  <si>
    <t>Phạm Thị Thanh Hiền</t>
  </si>
  <si>
    <t>Thứ Hai, ngày 25/08/2025</t>
  </si>
  <si>
    <t>Hoàng Thanh Ngân</t>
  </si>
  <si>
    <t>29/10/2004</t>
  </si>
  <si>
    <t>0399 132 594 -thahnganhoang@gmail.com</t>
  </si>
  <si>
    <t>Thứ Ba, ngày 16/09/2025</t>
  </si>
  <si>
    <t>Linh Thị Kim Phượng</t>
  </si>
  <si>
    <t>12/04/1995</t>
  </si>
  <si>
    <t>0387 362 415 -linhkimphuong1204@gmail.com</t>
  </si>
  <si>
    <t>KDTH</t>
  </si>
  <si>
    <t>Hà Đắc Trung</t>
  </si>
  <si>
    <t>Thứ Năm, ngày 25/09/2025</t>
  </si>
  <si>
    <t>Lê Thùy Trang</t>
  </si>
  <si>
    <t>23/09/1994</t>
  </si>
  <si>
    <t>0977 208 301 -tranglt23.mta@gmail.com</t>
  </si>
  <si>
    <t>Nhân viên Phụ trách Sản phẩm (PS) - Tiền phân tích</t>
  </si>
  <si>
    <t>MKT SML &amp; TPT Miền Bắc</t>
  </si>
  <si>
    <t>Hồ Hữu Hậu</t>
  </si>
  <si>
    <t>SKMT</t>
  </si>
  <si>
    <t>Trần Thị Thu</t>
  </si>
  <si>
    <t>01/03/2002</t>
  </si>
  <si>
    <t>0382472964 -tranthithu010302@gmail.com</t>
  </si>
  <si>
    <t>Admin Phòng Kỹ thuật</t>
  </si>
  <si>
    <t>Kỹ thuật</t>
  </si>
  <si>
    <t>Hồ Chí Trung</t>
  </si>
  <si>
    <t>Thái Duy Minh</t>
  </si>
  <si>
    <t>28/10/2003</t>
  </si>
  <si>
    <t>0962 746 899-minhtd281003@gmail.com</t>
  </si>
  <si>
    <t>Nhân viên Kinh doanh</t>
  </si>
  <si>
    <t>KD</t>
  </si>
  <si>
    <t>Thứ Tư, ngày 01/10/2025</t>
  </si>
  <si>
    <t>Lê Thanh Thảo</t>
  </si>
  <si>
    <t>07/11/2003</t>
  </si>
  <si>
    <t>0886521203 -lethao071103@gmail.com</t>
  </si>
  <si>
    <t>TTS Kinh doanh</t>
  </si>
  <si>
    <t>Kinh doanh TH</t>
  </si>
  <si>
    <t>Phạm Phương Linh</t>
  </si>
  <si>
    <t>26/06/2001</t>
  </si>
  <si>
    <t>0369 681 164 -phamlinh513@gmail.com</t>
  </si>
  <si>
    <t>Nhân viên Dự án(Thời vụ)</t>
  </si>
  <si>
    <t>Thứ Ba, ngày 14/10/2025</t>
  </si>
  <si>
    <t>Nguyễn Quốc Đạt</t>
  </si>
  <si>
    <t>15/11/2004</t>
  </si>
  <si>
    <t>0985 672 281 -datnoob2k4@gmail.com</t>
  </si>
  <si>
    <t>Thực tập sinh Lập trình</t>
  </si>
  <si>
    <t>Thứ Năm, ngày 16/10/2025</t>
  </si>
  <si>
    <t>Đỗ Đào Hiền Lương</t>
  </si>
  <si>
    <t>21/11/2003</t>
  </si>
  <si>
    <t>0374937993 -dodaohienluong@gmail.com</t>
  </si>
  <si>
    <t>Thứ Tư, ngày 22/10/2025</t>
  </si>
  <si>
    <t>Nguyễn Thùy Linh</t>
  </si>
  <si>
    <t>25/05/2004</t>
  </si>
  <si>
    <t>0867822718 -thuylinhng255@gmail.com</t>
  </si>
  <si>
    <t>Thực tập sinh Xuất nhập khẩu</t>
  </si>
  <si>
    <t>Xuất nhập khẩu</t>
  </si>
  <si>
    <t>Trần Thị  Lan Hương</t>
  </si>
  <si>
    <t>Nguyễn Đức Thắng</t>
  </si>
  <si>
    <t>13/10/2003</t>
  </si>
  <si>
    <t>0346 540 662 -ndt13102003@gmail.com</t>
  </si>
  <si>
    <t>Thứ Hai, ngày 27/10/2025</t>
  </si>
  <si>
    <t>Nguyễn Thị Lan</t>
  </si>
  <si>
    <t>15/07/1992</t>
  </si>
  <si>
    <t>0971 765 911-Nguyenlandkh@gmail.com</t>
  </si>
  <si>
    <t>Trưởng nhóm Phụ trách Sản phẩm (PM)</t>
  </si>
  <si>
    <t>Nguyễn Quang Thái</t>
  </si>
  <si>
    <t>Thứ Hai, ngày 03/11/2025</t>
  </si>
  <si>
    <t>NA</t>
  </si>
  <si>
    <t>Giang Hồng Trang</t>
  </si>
  <si>
    <t>22/07/1991</t>
  </si>
  <si>
    <t>0988 604 305 -tranggh2207@gmail.com</t>
  </si>
  <si>
    <t>Nhân viên Phân tích nghiệp vụ (BA) - KD</t>
  </si>
  <si>
    <t>BA-KD</t>
  </si>
  <si>
    <t>Nguyễn Trinh Hà Anh</t>
  </si>
  <si>
    <t>Nguyễn Thị Hồng Huế</t>
  </si>
  <si>
    <t>17/09/2004</t>
  </si>
  <si>
    <t>0987642750 -honghue170904@gmail.com</t>
  </si>
  <si>
    <t>Trần Thị Lan Hương</t>
  </si>
  <si>
    <t>Thứ Sáu, ngày 07/11/2025</t>
  </si>
  <si>
    <t>Trần Minh</t>
  </si>
  <si>
    <t>16/05/1983</t>
  </si>
  <si>
    <t>0945448866 -Tranminhh05@gmail.com</t>
  </si>
  <si>
    <t>Kỹ sư cơ điện</t>
  </si>
  <si>
    <t>ĐTXD</t>
  </si>
  <si>
    <t>Phạm Trung Dũng</t>
  </si>
  <si>
    <t>Thứ hai, ngày 17/11/2025</t>
  </si>
  <si>
    <t>Nguyễn Đức Thành</t>
  </si>
  <si>
    <t>07/05/1995</t>
  </si>
  <si>
    <t>0389 661 619 -nguyenducthanhdnu@gmail.com</t>
  </si>
  <si>
    <t>Thứ Ba, ngày 25/11/2025</t>
  </si>
  <si>
    <t>Nguyễn Phạm Thùy Dương</t>
  </si>
  <si>
    <t>0383 658 730 -duongpham30042003@gmail.com</t>
  </si>
  <si>
    <t>Nhân viên Kiểm thử phần mềm</t>
  </si>
  <si>
    <t>Thứ Ba, ngày 09/12/2025</t>
  </si>
  <si>
    <t>Nguyễn Thế Anh</t>
  </si>
  <si>
    <t>07/08/1991</t>
  </si>
  <si>
    <t>0961 653 961 -theanh0708.nuce@gmail.com</t>
  </si>
  <si>
    <t>Kỹ sư Cơ điện</t>
  </si>
  <si>
    <t>Thứ Năm, ngày 25/12/2025</t>
  </si>
  <si>
    <t>Tạ Phương Thảo</t>
  </si>
  <si>
    <t>10/09/2000</t>
  </si>
  <si>
    <t>0362 837 960 -thaotaph@gmail.com</t>
  </si>
  <si>
    <t>Nhân viên Kiểm soát nội bộ</t>
  </si>
  <si>
    <t>KSNB</t>
  </si>
  <si>
    <t>Nguyễn Thị Trâm Anh</t>
  </si>
  <si>
    <t>Nguyễn Quốc Tuấn Anh</t>
  </si>
  <si>
    <t>26/05/2003</t>
  </si>
  <si>
    <t>0359 260 609 -nguyentuan2003.hh@gmail.com</t>
  </si>
  <si>
    <t>Kiểm soát Tài chính</t>
  </si>
  <si>
    <t>Bùi Thị Lan</t>
  </si>
  <si>
    <t>Thứ Hai, ngày 05/01/2026</t>
  </si>
  <si>
    <t>Nguyễn Huệ Anh</t>
  </si>
  <si>
    <t>30/10/1992</t>
  </si>
  <si>
    <t>0869 509 229 -hueanh9210@gmail.com</t>
  </si>
  <si>
    <t>Nhân viên Tư vấn Giải pháp phần mềm</t>
  </si>
  <si>
    <t>KD LIS</t>
  </si>
  <si>
    <t>Phan Viết Tuệ</t>
  </si>
  <si>
    <t>Lê Thị Thanh Hằng</t>
  </si>
  <si>
    <t>15/05/2001</t>
  </si>
  <si>
    <t>0349 045 909 -hang9a123@gmail.com</t>
  </si>
  <si>
    <t>Nhân viên Thầu</t>
  </si>
  <si>
    <t>Thầu</t>
  </si>
  <si>
    <t>Ninh Thị Liên</t>
  </si>
  <si>
    <t>Nguyễn Thị Hoa</t>
  </si>
  <si>
    <t>24/06/2001</t>
  </si>
  <si>
    <t>0383 318 185 -hoanguyen24062001@gmail.com</t>
  </si>
  <si>
    <t>Nhân viên Thầu (Thời vụ)</t>
  </si>
  <si>
    <t>Nguyễn Thị Thúy</t>
  </si>
  <si>
    <t>Hà Thu Hằng</t>
  </si>
  <si>
    <t>19/04/2000</t>
  </si>
  <si>
    <t>0343 862 965 -hathuhang2557@gmail.com</t>
  </si>
  <si>
    <t>Đào Minh Đức</t>
  </si>
  <si>
    <t>05/08/2003</t>
  </si>
  <si>
    <t>0915 663 682 -ducaica21@gmail.com</t>
  </si>
  <si>
    <t>Nhân viên Triển khai</t>
  </si>
  <si>
    <t>Nguyễn Trung Hiếu</t>
  </si>
  <si>
    <t>Thứ Hai, ngày 12/01/2026</t>
  </si>
  <si>
    <t>Phó Đức Nghĩa</t>
  </si>
  <si>
    <t>05/02/2002</t>
  </si>
  <si>
    <t>0397 981 261 -pdnghia0502@gmail.com</t>
  </si>
  <si>
    <t>Nhân viên Triển khai</t>
  </si>
  <si>
    <t>Lương Thanh Nhâm</t>
  </si>
  <si>
    <t>Nguyễn Thị Minh Thanh</t>
  </si>
  <si>
    <t>13/10/2000</t>
  </si>
  <si>
    <t>0963 697 361 -Thanh61300@gmail.com</t>
  </si>
  <si>
    <t>Phạm Gia Long</t>
  </si>
  <si>
    <t>27/06/1996</t>
  </si>
  <si>
    <t>0334 439 635 -phamgialongtbyt@gmail.com</t>
  </si>
  <si>
    <t>Kỹ sư</t>
  </si>
  <si>
    <t>Bùi Văn Truyền</t>
  </si>
  <si>
    <t>Thứ Hai, ngày 26/01/2026</t>
  </si>
  <si>
    <t>Trần Thu Hiền</t>
  </si>
  <si>
    <t>02/04/1991</t>
  </si>
  <si>
    <t>0971 369 232-tranthuhien2491@gmail.com</t>
  </si>
  <si>
    <t>Thứ Hai, ngày 26/1/2026</t>
  </si>
  <si>
    <t>Đỗ Thị Phương</t>
  </si>
  <si>
    <t>15/01/2002</t>
  </si>
  <si>
    <t>0354 914 039-dophuong15012002@gmail.com</t>
  </si>
  <si>
    <t>Nhân viên Công nợ</t>
  </si>
  <si>
    <t>Hứa Thị Yến</t>
  </si>
  <si>
    <t>Thứ Hai, ngày 02/02/2026</t>
  </si>
  <si>
    <t>Phạm Phương Dung</t>
  </si>
  <si>
    <t>18/09/1998</t>
  </si>
  <si>
    <t>0986 356 600 -pdpham1809@gmail.com</t>
  </si>
  <si>
    <t>Nhân viên RnD</t>
  </si>
  <si>
    <t>RnD</t>
  </si>
  <si>
    <t>Thứ Tư, ngày 25/2/2026</t>
  </si>
  <si>
    <t>Đỗ Nhật Minh</t>
  </si>
  <si>
    <t>28/04/1997</t>
  </si>
  <si>
    <t>0942 390 833 -donhatminh868@gmail.com</t>
  </si>
  <si>
    <t>Nhân viên Kinh doanh  (Sale)</t>
  </si>
  <si>
    <t>Nguyễn Đức Hào</t>
  </si>
  <si>
    <t>Thứ Hai, ngày 02/03/2026</t>
  </si>
  <si>
    <t>Nguyễn Hoàng Phi</t>
  </si>
  <si>
    <t>26/07/2000</t>
  </si>
  <si>
    <t>0398 904 386 -hoangphivnu@gmail.com</t>
  </si>
  <si>
    <t>Lâm Thị Kim Dung</t>
  </si>
  <si>
    <t>Thứ Năm, ngày 05/03/2026</t>
  </si>
  <si>
    <t>Đào Thị Khánh Chi</t>
  </si>
  <si>
    <t>24/06/2005</t>
  </si>
  <si>
    <t>0949 396 203 -dao24625@gmail.com</t>
  </si>
  <si>
    <t>Trần Văn Luật</t>
  </si>
  <si>
    <t>12/03/2003</t>
  </si>
  <si>
    <t>0359 861 003 -luatvtran2003@gmail.com</t>
  </si>
  <si>
    <t>Triển khai</t>
  </si>
  <si>
    <t>Thứ Hai, ngày 30/03/2026</t>
  </si>
  <si>
    <t>Phạm Thị Phương Anh</t>
  </si>
  <si>
    <t>23/03/2003</t>
  </si>
  <si>
    <t>0399 822 381 -ptpa.phuonganh@gmail.com</t>
  </si>
  <si>
    <t>Nhân viên Admin phòng Ứng dụng Sản phẩm</t>
  </si>
  <si>
    <t>Lê Thanh Thuỷ</t>
  </si>
  <si>
    <t>Thứ Hai, ngày 06/04/2026</t>
  </si>
  <si>
    <t>Phạm Sơn Tùng</t>
  </si>
  <si>
    <t>11/07/2003</t>
  </si>
  <si>
    <t>0367 930 966 -phamsontung1107@gmail.com</t>
  </si>
  <si>
    <t>Nhân viên Lập trình phần mềm - IOLIS</t>
  </si>
  <si>
    <t>Lê Xuân Trường</t>
  </si>
  <si>
    <t>Dương Thị Thuỳ</t>
  </si>
  <si>
    <t>25/11/2004</t>
  </si>
  <si>
    <t>0356 850 181 -tthuy251404@gmail.com</t>
  </si>
  <si>
    <t>Nhân viên Kiểm thử phần mềm - IOLIS</t>
  </si>
  <si>
    <t>Trương Trung Đức</t>
  </si>
  <si>
    <t>05/10/2001</t>
  </si>
  <si>
    <t>0766 228 755 -truongducth05@gmail.com</t>
  </si>
  <si>
    <t>KD SHPT</t>
  </si>
  <si>
    <t>Nguyễn Duy Linh</t>
  </si>
  <si>
    <t>Thứ Tư, ngày 08/04/2026</t>
  </si>
  <si>
    <t>Nguyễn Thị Thu Uyên</t>
  </si>
  <si>
    <t>01/05/2001</t>
  </si>
  <si>
    <t>0379 871 391 -thuuyen.nt01@gmail.com</t>
  </si>
  <si>
    <t>Nhân viên Kiểm soát giá</t>
  </si>
  <si>
    <t>DM &amp; Giá</t>
  </si>
  <si>
    <t>Phan Hiển Kiên</t>
  </si>
  <si>
    <t>Thứ Hai, ngày 13/04/2026</t>
  </si>
  <si>
    <t>Nguyễn Đắc Hậu</t>
  </si>
  <si>
    <t>15/09/2003</t>
  </si>
  <si>
    <t>0866 822 032 -Hau2k03@gmail.com</t>
  </si>
  <si>
    <t>Dương Thế Vĩnh</t>
  </si>
  <si>
    <t>Nguyễn Tuấn Anh</t>
  </si>
  <si>
    <t>21/08/1981</t>
  </si>
  <si>
    <t>0977 280 148 -im.anhnt@gmail.com</t>
  </si>
  <si>
    <t>Giám đốc Tài chính</t>
  </si>
  <si>
    <t>TCKT</t>
  </si>
  <si>
    <t>Phùng Thị Thuỷ</t>
  </si>
  <si>
    <t>23/11/1987</t>
  </si>
  <si>
    <t>0945 549 588 -thuytp.hn2@gmail.com</t>
  </si>
  <si>
    <t>Trưởng phòng Hành chính</t>
  </si>
  <si>
    <t>Hành chính MB</t>
  </si>
  <si>
    <t>Trần Thị Thu Hà</t>
  </si>
  <si>
    <t>Thứ Ba, ngày 14/04/2026</t>
  </si>
  <si>
    <t>Phạm Hoàng Việt</t>
  </si>
  <si>
    <t>09/09/1999</t>
  </si>
  <si>
    <t>0981 649 788 -hoangviet1999hy@gmail.com</t>
  </si>
  <si>
    <t>Nhân viên Vận hành hệ thống</t>
  </si>
  <si>
    <t>IT</t>
  </si>
  <si>
    <t>Phạm Duy Khánh</t>
  </si>
  <si>
    <t>Nguyễn Thị Hương Thơm</t>
  </si>
  <si>
    <t>29/01/1994</t>
  </si>
  <si>
    <t>0968 649 094 -thom.nth94@gmail.com</t>
  </si>
  <si>
    <t>Thứ Hai, ngày 20/04/2026</t>
  </si>
  <si>
    <t>Hoàng Mạnh Cường</t>
  </si>
  <si>
    <t>0344 908 145 -hmcuong2404@gmail.com</t>
  </si>
  <si>
    <t>Nhân viên Kinh doanh(Sale)</t>
  </si>
  <si>
    <t>KD MT</t>
  </si>
  <si>
    <t>Bùi Thị Hà</t>
  </si>
  <si>
    <t>14/10/1994</t>
  </si>
  <si>
    <t>0979 604 194 -buithiha.dsdh@gmail.com</t>
  </si>
  <si>
    <t>Thứ Tư, ngày 22/04/2026</t>
  </si>
  <si>
    <t>Đào Thị Hạnh</t>
  </si>
  <si>
    <t>30/09/1984</t>
  </si>
  <si>
    <t>0904 898 158 -hanhdt1984@gmail.com</t>
  </si>
  <si>
    <t>Nhân viên Quản lý Dự Án(Project Manager)</t>
  </si>
  <si>
    <t>Thứ Hai, ngày 04/05/2026</t>
  </si>
  <si>
    <t>Nguyễn Thị Bích Phương</t>
  </si>
  <si>
    <t>20/08/1994</t>
  </si>
  <si>
    <t>0833 251 394 -bichphuong.tybg@gmail.com</t>
  </si>
  <si>
    <t>Nguyễn Thị Thuý</t>
  </si>
  <si>
    <t>Nguyễn Phương Thảo</t>
  </si>
  <si>
    <t>31/08/1992</t>
  </si>
  <si>
    <t>0975 998 982 -thaonp318@gmail.com</t>
  </si>
  <si>
    <t>Đỗ Mai Hương</t>
  </si>
  <si>
    <t>12/01/1998</t>
  </si>
  <si>
    <t>0989517913 -huongmaitc@gmail.com</t>
  </si>
  <si>
    <t>Nhóm Phát triển KH mới</t>
  </si>
  <si>
    <t>Vũ Thị Trang</t>
  </si>
  <si>
    <t>17/07/2000</t>
  </si>
  <si>
    <t>0941 278 526 -trangvu170720@gmail.com</t>
  </si>
  <si>
    <t>Nguyễn Thị Quỳnh Hoa</t>
  </si>
  <si>
    <t>Vũ Thuỳ Dung</t>
  </si>
  <si>
    <t>17/08/1995</t>
  </si>
  <si>
    <t>0377 405 882 -vtdung1708@gmail.com</t>
  </si>
  <si>
    <t>Nhân viên Điều phối dự án</t>
  </si>
  <si>
    <t>Phạm Tùng Chi</t>
  </si>
  <si>
    <t>27/07/2004</t>
  </si>
  <si>
    <t>0963 541 822 -phamtungchi277@gmail.com</t>
  </si>
  <si>
    <t>Nhân viên Phân tích nghiệp vụ Sản phẩm (BA) - LIS</t>
  </si>
  <si>
    <t>Nguyễn Hiệp Quyền</t>
  </si>
  <si>
    <t>1/07/1997</t>
  </si>
  <si>
    <t>0388 626 770 -hq.quyennh@gmail.com</t>
  </si>
  <si>
    <t>Nguyễn Duy Minh Đức</t>
  </si>
  <si>
    <t>14/11/2003</t>
  </si>
  <si>
    <t>0987 142 003 -ndmduc14@gmail.com</t>
  </si>
  <si>
    <t>Vũ Công Đại</t>
  </si>
  <si>
    <t>Nguyễn Ngọc Chiến</t>
  </si>
  <si>
    <t>08/04/2003</t>
  </si>
  <si>
    <t>0349 304 627 -ngocchien482003@gmail.com</t>
  </si>
  <si>
    <t>Thứ Hai, ngày 11/05/2026</t>
  </si>
  <si>
    <t>Nguyễn Thị Ngọc Linh</t>
  </si>
  <si>
    <t>21/03/2001</t>
  </si>
  <si>
    <t>0348 945 402 -nguyenngoclinhyolo2103@gmail.com</t>
  </si>
  <si>
    <t>Nguyễn Quỳnh Nhung</t>
  </si>
  <si>
    <t>0877 257 136 -nguyenquynhnhungg@gmail.com</t>
  </si>
  <si>
    <t>Nhân viên Phân tích nghiệp vụ Sản phẩm (BA) - IOLIS</t>
  </si>
  <si>
    <t>Thứ Tư, ngày 13/05/2026</t>
  </si>
  <si>
    <t>09/02/1999</t>
  </si>
  <si>
    <t>0962 532 481 -nguyendieulinh2481@gmail.com</t>
  </si>
  <si>
    <t>MKT TH</t>
  </si>
  <si>
    <t>Thứ Sáu, ngày 15/05/2026</t>
  </si>
  <si>
    <t>Trần Thị Ánh</t>
  </si>
  <si>
    <t>07/01/2005</t>
  </si>
  <si>
    <t>0859 085 905 -trananh7105@gmail.com</t>
  </si>
  <si>
    <t>Thực tập sinh Đào tạo</t>
  </si>
  <si>
    <t>Back-office</t>
  </si>
  <si>
    <t>Phạm Thị Vân Anh</t>
  </si>
  <si>
    <t>Thứ Ba, ngày 19/05/2026</t>
  </si>
  <si>
    <t>Mai Thị Thu Huyền</t>
  </si>
  <si>
    <t>31/12/1996</t>
  </si>
  <si>
    <t>0965 664 036 -maithithuhuyen96@gmail.com</t>
  </si>
  <si>
    <t>Giám sát Kiểm thử phần mềm &amp; Phân tích nghiệp vụ Sản phẩm</t>
  </si>
  <si>
    <t>Thứ Hai, ngày 25/05/2026</t>
  </si>
  <si>
    <t>Nguyễn Trần Ngọc Anh</t>
  </si>
  <si>
    <t>25/01/2002</t>
  </si>
  <si>
    <t>0984 661 218 -ngtrnganh@gmail.com</t>
  </si>
  <si>
    <t>Nhân viên Phát triển địa bàn (PA)</t>
  </si>
  <si>
    <t>Vương Hồng Hạnh</t>
  </si>
  <si>
    <t>Nguyễn Đức Toàn</t>
  </si>
  <si>
    <t>06/11/1999</t>
  </si>
  <si>
    <t>0868 212 071 -toan06111999@gmail.com</t>
  </si>
  <si>
    <t>Thứ Tư, ngày 27/05/2026</t>
  </si>
  <si>
    <t>Lê Huyền Trang</t>
  </si>
  <si>
    <t>02/12/1996</t>
  </si>
  <si>
    <t>0868 356 769 -Trangle121996@gmail.com</t>
  </si>
  <si>
    <t>Thái Hùng</t>
  </si>
  <si>
    <t>Thứ Hai, ngày 01/06/2026</t>
  </si>
  <si>
    <t>Mai Duy Hưng</t>
  </si>
  <si>
    <t>16/06/1997</t>
  </si>
  <si>
    <t>0329 076 620 -kentran97.art@gmail.com</t>
  </si>
  <si>
    <t>Nhân viên Thiết kế</t>
  </si>
  <si>
    <t>Thứ Ba, ngày 02/06/2026</t>
  </si>
  <si>
    <t>Chu Thị Hoa</t>
  </si>
  <si>
    <t>07/01/1997</t>
  </si>
  <si>
    <t>0984 951 586 -misshoa07@gmail.com</t>
  </si>
  <si>
    <t>Nhân viên Thầu &amp; Điều phối dự án</t>
  </si>
  <si>
    <t>Thứ 5, ngày 04/06/2026</t>
  </si>
  <si>
    <t>Trần Phương Thảo</t>
  </si>
  <si>
    <t>01/08/2004</t>
  </si>
  <si>
    <t>0393 407 930 -phuongthaohtp08@gmail.com</t>
  </si>
  <si>
    <t>Nhân viên Mua hàng nước ngoài</t>
  </si>
  <si>
    <t>MH</t>
  </si>
  <si>
    <t>Nguyễn Thị Trang</t>
  </si>
  <si>
    <t>Thứ 6, ngày 05/06/2026</t>
  </si>
  <si>
    <t>Phạm Quốc Đạt</t>
  </si>
  <si>
    <t>13/01/1999</t>
  </si>
  <si>
    <t>0961 460 699 -pqdhup1301@gmail.com</t>
  </si>
  <si>
    <t>Nguyễn Thị Hồng Thơm</t>
  </si>
  <si>
    <t>Thứ 2, ngày 08/06/2026</t>
  </si>
  <si>
    <t>Đặng Ngọc Linh</t>
  </si>
  <si>
    <t>12/11/2002</t>
  </si>
  <si>
    <t>0349 529 297-Ngoclinh.02@gmail.com</t>
  </si>
  <si>
    <t>Nhân viên Xuất hàng</t>
  </si>
  <si>
    <t>Xuất hàng</t>
  </si>
  <si>
    <t>Nguyễn Diệu Linh</t>
  </si>
  <si>
    <t>Thứ Hai, ngày 15/06/2026</t>
  </si>
  <si>
    <t>Phạm Huyền Trang</t>
  </si>
  <si>
    <t>0856 671 131 -huyentrang.pham.lc94@gmail.com</t>
  </si>
  <si>
    <t>Giám sát Danh mục - Kiểm soát giá</t>
  </si>
  <si>
    <t>Thứ 2, ngày 15/06/2026</t>
  </si>
  <si>
    <t>Hồ Anh Tuấn</t>
  </si>
  <si>
    <t>20/08/2002</t>
  </si>
  <si>
    <t>0329 128 578 -tuanzetaab1@gmail.com</t>
  </si>
  <si>
    <t>Nguyễn Hà Vân</t>
  </si>
  <si>
    <t>02/02/1998</t>
  </si>
  <si>
    <t>0934 654 589 -havan2298@gmail.com</t>
  </si>
  <si>
    <t>Quyền Giám sát Danh mục &amp; Kiểm soát giá</t>
  </si>
  <si>
    <t>Thầu &amp; Giá</t>
  </si>
  <si>
    <t>Thứ 2, ngày 22/06/2026</t>
  </si>
  <si>
    <t>Lê Thị Tiểu Nhi</t>
  </si>
  <si>
    <t>05/12/2001</t>
  </si>
  <si>
    <t>0363 412 795 -nhiltt0512@gmail.com</t>
  </si>
  <si>
    <t>Nhân viên Thiết kế Đào tạo</t>
  </si>
  <si>
    <t>Đào tạo</t>
  </si>
  <si>
    <t>Bùi Quang Dũng</t>
  </si>
  <si>
    <t>Thứ 3, ngày 23/06/2026</t>
  </si>
  <si>
    <t>Lại Ngọc Khánh</t>
  </si>
  <si>
    <t>01/09/1997</t>
  </si>
  <si>
    <t>0912 331 870 -laingockhanh97@gmail.com</t>
  </si>
  <si>
    <t>Thứ 5, ngày 25/06/2026</t>
  </si>
  <si>
    <t xml:space="preserve">TH </t>
  </si>
  <si>
    <t>Nguyễn Thị Ngọc Huyền</t>
  </si>
  <si>
    <t>07/10/2001</t>
  </si>
  <si>
    <t>0368 319 924 -huyen.ntngoc@gmail.com</t>
  </si>
  <si>
    <t>Vũ Thị Thu Hiền</t>
  </si>
  <si>
    <t>Thứ 2, ngày 29/06/2026</t>
  </si>
  <si>
    <t>Nguyễn Ngọc Sơn</t>
  </si>
  <si>
    <t>15/08/2000</t>
  </si>
  <si>
    <t>0334 518 812 -ngocson0056@gmail.com</t>
  </si>
  <si>
    <t>Trần Quốc Đạt</t>
  </si>
  <si>
    <t>31/10/2003</t>
  </si>
  <si>
    <t>0393 343 119 -tranquocdat.pharma@gmail.com</t>
  </si>
  <si>
    <t>Đào Bích Ngọc</t>
  </si>
  <si>
    <t>21/02/2003</t>
  </si>
  <si>
    <t>0912 352 445 -bichngoc.dao2123@gmail.com</t>
  </si>
  <si>
    <t>Thứ Hai, ngày 29/06/2026</t>
  </si>
  <si>
    <t>Lê Khánh Linh</t>
  </si>
  <si>
    <t>18/08/2001</t>
  </si>
  <si>
    <t>0981 204 556  -linhkhanhle0918@gmail.com</t>
  </si>
  <si>
    <t>Nhân viên phụ trách sản phẩm (Thiết bị)</t>
  </si>
  <si>
    <t>Thứ 4, ngày 01/07/2026</t>
  </si>
  <si>
    <t>Nguyễn Thanh Thảo</t>
  </si>
  <si>
    <t>03/11/2004</t>
  </si>
  <si>
    <t>0862 134 620 -t.thaowrk@gmail.com</t>
  </si>
  <si>
    <t>Thứ Tư, ngày 01/07/2026</t>
  </si>
  <si>
    <t>Hoàng Nhật Minh</t>
  </si>
  <si>
    <t>07/12/2003</t>
  </si>
  <si>
    <t>0912 150 615 -minkarrow@gmail.com</t>
  </si>
  <si>
    <t>Nhân viên Phân tích Dữ liệu</t>
  </si>
  <si>
    <t>CE</t>
  </si>
  <si>
    <t>Hà Phương Nhi</t>
  </si>
  <si>
    <t>Nguyễn Việt Anh</t>
  </si>
  <si>
    <t>20/11/1985</t>
  </si>
  <si>
    <t>0394 347 222 -vietanh1985@gmail.com</t>
  </si>
  <si>
    <t>Nhân viên R&amp;D (Phát triển Sản phẩm Thương Mại)</t>
  </si>
  <si>
    <t>SSD</t>
  </si>
  <si>
    <t>Giáp Văn Thắng</t>
  </si>
  <si>
    <t>Cao Đức Huy</t>
  </si>
  <si>
    <t>15/03/2004</t>
  </si>
  <si>
    <t>0815 112 415 -hcao7354@gmail.com</t>
  </si>
  <si>
    <t>Thực tập sinh Triển Khai</t>
  </si>
  <si>
    <t>Hoàng Anh Ba</t>
  </si>
  <si>
    <t>Vũ Khắc Việt</t>
  </si>
  <si>
    <t>09/10/1991</t>
  </si>
  <si>
    <t>0366 073 091 -khacviet91091@gmail.com</t>
  </si>
  <si>
    <t>KD TH</t>
  </si>
  <si>
    <t>Thứ 2, ngày 06/07/2026</t>
  </si>
  <si>
    <t>Nguyễn Như Nam</t>
  </si>
  <si>
    <t>16/01/2004</t>
  </si>
  <si>
    <t>0376 961 161 -nguyennhunam1601@gmail.com</t>
  </si>
  <si>
    <t>Thực tập sinh Triển khai</t>
  </si>
  <si>
    <t>Chu Thị Thu Loan</t>
  </si>
  <si>
    <t>15/04/1997</t>
  </si>
  <si>
    <t>0327 896 303 -chuloan.wm@gmail.com</t>
  </si>
  <si>
    <t>Thứ 5, ngày 09/07/2026</t>
  </si>
  <si>
    <t>Phạm Thị Lan Anh</t>
  </si>
  <si>
    <t>01/07/2003</t>
  </si>
  <si>
    <t>0327 050 787 -lanhcute17262003@gmail.com</t>
  </si>
  <si>
    <t>Phạm Thị Minh Nguyệt</t>
  </si>
  <si>
    <t>18/06/1999</t>
  </si>
  <si>
    <t>0355 080 428 -nguyet.pham18699@gmail.com</t>
  </si>
  <si>
    <t>Thứ 2, ngày 13/07/2026</t>
  </si>
  <si>
    <t>Nguyễn Thị Phương Thu</t>
  </si>
  <si>
    <t>15/02/1999</t>
  </si>
  <si>
    <t>0336 577 105 -phuongthuhup99@gmail.com</t>
  </si>
  <si>
    <t>Nhân viên Phát triển Địa bàn - PA</t>
  </si>
  <si>
    <t>Lê Thùy Dương</t>
  </si>
  <si>
    <t>10/08/2004</t>
  </si>
  <si>
    <t>0904 022 139 -lethuyduong1082004@gmail.com</t>
  </si>
  <si>
    <t>Thực tập sinh Mua hàng</t>
  </si>
  <si>
    <t>Nguyễn Thị Phương Mai</t>
  </si>
  <si>
    <t>10/11/2003</t>
  </si>
  <si>
    <t>0949 457 288 -mainhim03@gmail.com</t>
  </si>
  <si>
    <t>Nhân viên Dự án (Thời vụ)</t>
  </si>
  <si>
    <t>Dự Án</t>
  </si>
  <si>
    <t>Thứ 4, ngày 15/07/2026</t>
  </si>
  <si>
    <t>Phù Thị Phương</t>
  </si>
  <si>
    <t>03/11/2000</t>
  </si>
  <si>
    <t>0336 927 173 -phuongphu3112000@gmail.com</t>
  </si>
  <si>
    <t>Nhân viên Phát triển địa bàn - PA</t>
  </si>
  <si>
    <t>MKT MT</t>
  </si>
  <si>
    <t>Thứ 2, ngày 20/07/2026</t>
  </si>
  <si>
    <t>Lưu Quang Hiếu</t>
  </si>
  <si>
    <t>09/09/2000</t>
  </si>
  <si>
    <t>0989 256 021 -luuquanghieu9920@gmail.com</t>
  </si>
  <si>
    <t>Nhân viên Phân tích Nghiệp vụ - LIS</t>
  </si>
  <si>
    <t>Nguyễn Phương Linh</t>
  </si>
  <si>
    <t>06/04/2001</t>
  </si>
  <si>
    <t>0332 360 324 -nguyenlinh6401@gmail.com</t>
  </si>
  <si>
    <t>Nhân viên Phát triển Địa bàn</t>
  </si>
  <si>
    <t>SHPT</t>
  </si>
  <si>
    <t>Nguyễn Đăng Huy</t>
  </si>
  <si>
    <t>Dương Hoàng Long</t>
  </si>
  <si>
    <t>14/04/2003</t>
  </si>
  <si>
    <t>0385 242 327 -duonglong048@gmail.com</t>
  </si>
  <si>
    <t>Nhân viên Lập trình phần mềm</t>
  </si>
  <si>
    <t>Thứ 3, ngày 21/07/2026</t>
  </si>
  <si>
    <t>Nguyễn Minh Tuấn</t>
  </si>
  <si>
    <t>01/09/2003</t>
  </si>
  <si>
    <t>0862 467 698 -nguyenminhtuan2003vau@gmail.com</t>
  </si>
  <si>
    <t>Thứ 2, ngày 03/08/2026</t>
  </si>
  <si>
    <t>Phùng Thị Mơ</t>
  </si>
  <si>
    <t>06/05/2003</t>
  </si>
  <si>
    <t>0865 026 013 -phungmo2k3@gmail.com</t>
  </si>
  <si>
    <t>Thứ Hai, ngày 27/07/2026</t>
  </si>
  <si>
    <t>Lương Ngọc Vinh</t>
  </si>
  <si>
    <t>02/04/2004</t>
  </si>
  <si>
    <t>0396 218 342 -lwngvihdev@gmail.com</t>
  </si>
  <si>
    <t>Thứ 2, ngày 27/07/2026</t>
  </si>
  <si>
    <t>Nguyễn Thiện Trung</t>
  </si>
  <si>
    <t>31/07/1996</t>
  </si>
  <si>
    <t>0782 140 505 -ntrung812@gmail.com</t>
  </si>
  <si>
    <t>ƯDSP MT</t>
  </si>
  <si>
    <t>Đỗ Việt Tú</t>
  </si>
  <si>
    <t>Thứ 2, ngày 10/08/2026</t>
  </si>
  <si>
    <t>VPĐD Đà Nẵng</t>
  </si>
  <si>
    <t>Vũ Thị Thảo Ly</t>
  </si>
  <si>
    <t>22/9/1996</t>
  </si>
  <si>
    <t>0985 560 265-lyvu612@gmail.com</t>
  </si>
  <si>
    <t>Trưởng nhóm Phụ trách Sản phẩm (PM) - Miễn dịch</t>
  </si>
  <si>
    <t>Thứ 4, ngày 12/08/2026</t>
  </si>
  <si>
    <t>Hoàng Việt Đức</t>
  </si>
  <si>
    <t>22/01/2003</t>
  </si>
  <si>
    <t>0396 635 700 -hoangducds2003@gmail.com</t>
  </si>
  <si>
    <t>Thứ 4, ngày 29/07/2026</t>
  </si>
  <si>
    <t>Ngày nghỉ việc</t>
  </si>
  <si>
    <t>Giới tính</t>
  </si>
  <si>
    <t>Nguồn tuyển dụng</t>
  </si>
  <si>
    <t>Trạng thái Onboarding</t>
  </si>
  <si>
    <t>Thời gian thử việc</t>
  </si>
  <si>
    <t>Kết quả thử việc</t>
  </si>
  <si>
    <t>Phòng/Nhóm</t>
  </si>
  <si>
    <t>Ghi chú (Pháp nhân ký HĐ)</t>
  </si>
  <si>
    <t>Mã nhân viên</t>
  </si>
  <si>
    <t>Quốc tịch</t>
  </si>
  <si>
    <t>Tỉnh/Thành phố</t>
  </si>
  <si>
    <t>Recruiter phụ trách</t>
  </si>
  <si>
    <t>Ngày nhận CV</t>
  </si>
  <si>
    <t>Ngày phỏng vấn</t>
  </si>
  <si>
    <t>Ngày Offer</t>
  </si>
  <si>
    <t>Trạng thái nhân sự</t>
  </si>
  <si>
    <t>Lý do nghỉ việc</t>
  </si>
  <si>
    <t>Rehire</t>
  </si>
  <si>
    <t>Điều chuyển nội bộ</t>
  </si>
  <si>
    <t>Thăng chức</t>
  </si>
  <si>
    <t>Completed</t>
  </si>
  <si>
    <t>Not Started</t>
  </si>
  <si>
    <t>Hảo Trần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</si>
</sst>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theme="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/>
    <xf numFmtId="0" fontId="0" fillId="0" borderId="0" xfId="0" applyAlignment="1">
      <alignment horizontal="center" vertical="center" wrapText="1"/>
    </xf>
    <xf numFmtId="0" fontId="0" fillId="0" borderId="5" xfId="0" applyFont="1" applyBorder="1"/>
    <xf numFmtId="0" fontId="0" fillId="0" borderId="2" xfId="0" applyFont="1" applyBorder="1"/>
    <xf numFmtId="0" fontId="0" fillId="0" borderId="4" xfId="0" applyFont="1" applyBorder="1"/>
    <xf numFmtId="0" fontId="0" fillId="0" borderId="3" xfId="0" applyFont="1" applyBorder="1"/>
    <xf numFmtId="0" fontId="0" fillId="0" borderId="3" xfId="0" applyFont="1" applyBorder="1" applyAlignment="1">
      <alignment horizontal="center"/>
    </xf>
    <xf numFmtId="0" fontId="0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wrapText="1"/>
    </xf>
    <xf numFmtId="0" fontId="0" fillId="0" borderId="5" xfId="0" applyFont="1" applyBorder="1" applyAlignment="1">
      <alignment wrapText="1"/>
    </xf>
    <xf numFmtId="14" fontId="0" fillId="0" borderId="1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H&#7843;o\0.%20B&#224;n%20giao%20t&#224;i%20li&#7879;u\8.%20G&#7917;i%20Zulip\Danh%20s&#225;ch%20nh&#226;n%20vi&#234;n%20&#273;ang%20l&#224;m%20vi&#7879;c%20-%2020260728085658.xlsx" TargetMode="External"/><Relationship Id="rId1" Type="http://schemas.openxmlformats.org/officeDocument/2006/relationships/externalLinkPath" Target="/1.%20H&#7843;o/0.%20B&#224;n%20giao%20t&#224;i%20li&#7879;u/8.%20G&#7917;i%20Zulip/Danh%20s&#225;ch%20nh&#226;n%20vi&#234;n%20&#273;ang%20l&#224;m%20vi&#7879;c%20-%2020260728085658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H&#7843;o\0.%20B&#224;n%20giao%20t&#224;i%20li&#7879;u\8.%20G&#7917;i%20Zulip\Danh%20s&#225;ch%20nh&#226;n%20vi&#234;n%20ngh&#7881;%20vi&#7879;c%20-%2020260728085723.xlsx" TargetMode="External"/><Relationship Id="rId1" Type="http://schemas.openxmlformats.org/officeDocument/2006/relationships/externalLinkPath" Target="/1.%20H&#7843;o/0.%20B&#224;n%20giao%20t&#224;i%20li&#7879;u/8.%20G&#7917;i%20Zulip/Danh%20s&#225;ch%20nh&#226;n%20vi&#234;n%20ngh&#7881;%20vi&#7879;c%20-%20202607280857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Main"/>
    </sheetNames>
    <sheetDataSet>
      <sheetData sheetId="0"/>
      <sheetData sheetId="1">
        <row r="1">
          <cell r="F1" t="str">
            <v>Họ và tên nhân viên</v>
          </cell>
          <cell r="N1" t="str">
            <v>Ngày sinh</v>
          </cell>
        </row>
        <row r="2">
          <cell r="C2" t="str">
            <v>001081022711</v>
          </cell>
          <cell r="F2" t="str">
            <v>Nguyễn Tuấn Anh</v>
          </cell>
          <cell r="N2">
            <v>29819</v>
          </cell>
          <cell r="Q2" t="str">
            <v>Nam</v>
          </cell>
          <cell r="S2" t="str">
            <v>VN</v>
          </cell>
          <cell r="AL2" t="str">
            <v>Thành phố Hà Nội</v>
          </cell>
        </row>
        <row r="3">
          <cell r="C3" t="str">
            <v>001082036743</v>
          </cell>
          <cell r="F3" t="str">
            <v>Nguyễn Anh Tuấn</v>
          </cell>
          <cell r="N3">
            <v>29956</v>
          </cell>
          <cell r="Q3" t="str">
            <v>Nam</v>
          </cell>
          <cell r="S3" t="str">
            <v>VN</v>
          </cell>
          <cell r="AL3" t="str">
            <v>Thành phố Hà Nội</v>
          </cell>
        </row>
        <row r="4">
          <cell r="C4" t="str">
            <v>001085001642</v>
          </cell>
          <cell r="F4" t="str">
            <v>Nguyễn Việt Anh</v>
          </cell>
          <cell r="N4">
            <v>31371</v>
          </cell>
          <cell r="Q4" t="str">
            <v>Nam</v>
          </cell>
          <cell r="S4" t="str">
            <v>VN</v>
          </cell>
          <cell r="AL4" t="str">
            <v>Thành phố Hà Nội</v>
          </cell>
        </row>
        <row r="5">
          <cell r="C5" t="str">
            <v>001187001691</v>
          </cell>
          <cell r="F5" t="str">
            <v>Phùng Thị Thuỷ</v>
          </cell>
          <cell r="N5">
            <v>32104</v>
          </cell>
          <cell r="Q5" t="str">
            <v>Nữ</v>
          </cell>
          <cell r="S5" t="str">
            <v>VN</v>
          </cell>
          <cell r="AL5" t="str">
            <v>Thành phố Hà Nội</v>
          </cell>
        </row>
        <row r="6">
          <cell r="C6" t="str">
            <v>001191020375</v>
          </cell>
          <cell r="F6" t="str">
            <v>Giang Hồng Trang</v>
          </cell>
          <cell r="N6">
            <v>33441</v>
          </cell>
          <cell r="Q6" t="str">
            <v>Nữ</v>
          </cell>
          <cell r="S6" t="str">
            <v>VN</v>
          </cell>
          <cell r="AL6" t="str">
            <v>Thành phố Hà Nội</v>
          </cell>
        </row>
        <row r="7">
          <cell r="C7" t="str">
            <v>001194046526</v>
          </cell>
          <cell r="F7" t="str">
            <v>Bùi Thị Hà</v>
          </cell>
          <cell r="N7">
            <v>34621</v>
          </cell>
          <cell r="Q7" t="str">
            <v>Nữ</v>
          </cell>
          <cell r="S7" t="str">
            <v>VN</v>
          </cell>
          <cell r="AL7" t="str">
            <v>Thành phố Hà Nội</v>
          </cell>
        </row>
        <row r="8">
          <cell r="C8" t="str">
            <v>001195021299</v>
          </cell>
          <cell r="F8" t="str">
            <v>Vũ Thuỳ Dung</v>
          </cell>
          <cell r="N8">
            <v>34928</v>
          </cell>
          <cell r="Q8" t="str">
            <v>Nữ</v>
          </cell>
          <cell r="S8" t="str">
            <v>VN</v>
          </cell>
          <cell r="AL8" t="str">
            <v>Thành phố Hà Nội</v>
          </cell>
        </row>
        <row r="9">
          <cell r="C9" t="str">
            <v>001196002416</v>
          </cell>
          <cell r="F9" t="str">
            <v>Lê Huyền Trang</v>
          </cell>
          <cell r="N9">
            <v>35401</v>
          </cell>
          <cell r="Q9" t="str">
            <v>Nữ</v>
          </cell>
          <cell r="S9" t="str">
            <v>VN</v>
          </cell>
          <cell r="AL9" t="str">
            <v>Thành phố Hà Nội</v>
          </cell>
        </row>
        <row r="10">
          <cell r="C10" t="str">
            <v>001197019986</v>
          </cell>
          <cell r="F10" t="str">
            <v>Chu Thị Hoa</v>
          </cell>
          <cell r="N10">
            <v>35437</v>
          </cell>
          <cell r="Q10" t="str">
            <v>Nữ</v>
          </cell>
          <cell r="S10" t="str">
            <v>VN</v>
          </cell>
          <cell r="AL10" t="str">
            <v>Thành phố Hà Nội</v>
          </cell>
        </row>
        <row r="11">
          <cell r="C11" t="str">
            <v>001197031330</v>
          </cell>
          <cell r="F11" t="str">
            <v>Chu Thị Thu Loan</v>
          </cell>
          <cell r="N11">
            <v>35535</v>
          </cell>
          <cell r="Q11" t="str">
            <v>Nữ</v>
          </cell>
          <cell r="S11" t="str">
            <v>VN</v>
          </cell>
          <cell r="AL11" t="str">
            <v>Thành phố Hà Nội</v>
          </cell>
        </row>
        <row r="12">
          <cell r="C12" t="str">
            <v>001199026445</v>
          </cell>
          <cell r="F12" t="str">
            <v>Nguyễn Quỳnh Nhung</v>
          </cell>
          <cell r="N12">
            <v>36275</v>
          </cell>
          <cell r="Q12" t="str">
            <v>Nữ</v>
          </cell>
          <cell r="S12" t="str">
            <v>VN</v>
          </cell>
          <cell r="AL12" t="str">
            <v>Thành phố Hà Nội</v>
          </cell>
        </row>
        <row r="13">
          <cell r="C13" t="str">
            <v>001200009025</v>
          </cell>
          <cell r="F13" t="str">
            <v>Lưu Quang Hiếu</v>
          </cell>
          <cell r="N13">
            <v>36778</v>
          </cell>
          <cell r="Q13" t="str">
            <v>Nam</v>
          </cell>
          <cell r="S13" t="str">
            <v>VN</v>
          </cell>
          <cell r="AL13" t="str">
            <v>Thành phố Hà Nội</v>
          </cell>
        </row>
        <row r="14">
          <cell r="C14" t="str">
            <v>001202028675</v>
          </cell>
          <cell r="F14" t="str">
            <v>Hồ Anh Tuấn</v>
          </cell>
          <cell r="N14">
            <v>37488</v>
          </cell>
          <cell r="Q14" t="str">
            <v>Nam</v>
          </cell>
          <cell r="S14" t="str">
            <v>VN</v>
          </cell>
          <cell r="AL14" t="str">
            <v>Thành phố Hà Nội</v>
          </cell>
        </row>
        <row r="15">
          <cell r="C15" t="str">
            <v>001203005300</v>
          </cell>
          <cell r="F15" t="str">
            <v>Thái Duy Minh</v>
          </cell>
          <cell r="N15">
            <v>37922</v>
          </cell>
          <cell r="Q15" t="str">
            <v>Nam</v>
          </cell>
          <cell r="S15" t="str">
            <v>VN</v>
          </cell>
          <cell r="AL15" t="str">
            <v>Thành phố Hà Nội</v>
          </cell>
        </row>
        <row r="16">
          <cell r="C16" t="str">
            <v>001203023540</v>
          </cell>
          <cell r="F16" t="str">
            <v>Nguyễn Minh Tuấn</v>
          </cell>
          <cell r="N16">
            <v>37865</v>
          </cell>
          <cell r="Q16" t="str">
            <v>Nam</v>
          </cell>
          <cell r="S16" t="str">
            <v>VN</v>
          </cell>
          <cell r="AL16" t="str">
            <v>Thành phố Hà Nội</v>
          </cell>
        </row>
        <row r="17">
          <cell r="C17" t="str">
            <v>001203041839</v>
          </cell>
          <cell r="F17" t="str">
            <v>Dương Hoàng Long</v>
          </cell>
          <cell r="N17">
            <v>37725</v>
          </cell>
          <cell r="Q17" t="str">
            <v>Nam</v>
          </cell>
          <cell r="S17" t="str">
            <v>VN</v>
          </cell>
          <cell r="AL17" t="str">
            <v>Thành phố Hà Nội</v>
          </cell>
        </row>
        <row r="18">
          <cell r="C18" t="str">
            <v>001301012794</v>
          </cell>
          <cell r="F18" t="str">
            <v>Nguyễn Thị Thu Uyên</v>
          </cell>
          <cell r="N18">
            <v>37012</v>
          </cell>
          <cell r="Q18" t="str">
            <v>Nữ</v>
          </cell>
          <cell r="S18" t="str">
            <v>VN</v>
          </cell>
          <cell r="AL18" t="str">
            <v>Thành phố Hà Nội</v>
          </cell>
        </row>
        <row r="19">
          <cell r="C19" t="str">
            <v>001302021040</v>
          </cell>
          <cell r="F19" t="str">
            <v>Đặng Ngọc Linh</v>
          </cell>
          <cell r="N19">
            <v>37572</v>
          </cell>
          <cell r="Q19" t="str">
            <v>Nữ</v>
          </cell>
          <cell r="S19" t="str">
            <v>VN</v>
          </cell>
          <cell r="AL19" t="str">
            <v>Thành phố Hà Nội</v>
          </cell>
        </row>
        <row r="20">
          <cell r="C20" t="str">
            <v>001303009991</v>
          </cell>
          <cell r="F20" t="str">
            <v>Nguyễn Thu Hà</v>
          </cell>
          <cell r="N20">
            <v>37874</v>
          </cell>
          <cell r="Q20" t="str">
            <v>Nữ</v>
          </cell>
          <cell r="S20" t="str">
            <v>VN</v>
          </cell>
          <cell r="AL20" t="str">
            <v>Thành phố Hà Nội</v>
          </cell>
        </row>
        <row r="21">
          <cell r="C21" t="str">
            <v>001304021143</v>
          </cell>
          <cell r="F21" t="str">
            <v>Nguyễn Thanh Thảo</v>
          </cell>
          <cell r="N21">
            <v>38294</v>
          </cell>
          <cell r="Q21" t="str">
            <v>Nữ</v>
          </cell>
          <cell r="S21" t="str">
            <v>VN</v>
          </cell>
          <cell r="AL21" t="str">
            <v>Thành phố Hà Nội</v>
          </cell>
        </row>
        <row r="22">
          <cell r="C22" t="str">
            <v>006099004606</v>
          </cell>
          <cell r="F22" t="str">
            <v>Nguyễn Đức Toàn</v>
          </cell>
          <cell r="N22">
            <v>36470</v>
          </cell>
          <cell r="Q22" t="str">
            <v>Nam</v>
          </cell>
          <cell r="S22" t="str">
            <v>VN</v>
          </cell>
          <cell r="AL22" t="str">
            <v>Thành phố Hà Nội</v>
          </cell>
        </row>
        <row r="23">
          <cell r="C23" t="str">
            <v>008097004328</v>
          </cell>
          <cell r="F23" t="str">
            <v>Lại Ngọc Khánh</v>
          </cell>
          <cell r="N23">
            <v>35674</v>
          </cell>
          <cell r="Q23" t="str">
            <v>Nam</v>
          </cell>
          <cell r="S23" t="str">
            <v>VN</v>
          </cell>
          <cell r="AL23" t="str">
            <v>Thành phố Hà Nội</v>
          </cell>
        </row>
        <row r="24">
          <cell r="C24" t="str">
            <v>0100815775</v>
          </cell>
          <cell r="F24" t="str">
            <v>Đoàn Xuân Quý</v>
          </cell>
          <cell r="N24">
            <v>20148</v>
          </cell>
          <cell r="Q24" t="str">
            <v>Nam</v>
          </cell>
          <cell r="S24" t="str">
            <v>VN</v>
          </cell>
          <cell r="AL24" t="str">
            <v>Thành phố Hà Nội</v>
          </cell>
        </row>
        <row r="25">
          <cell r="C25" t="str">
            <v>0103015424</v>
          </cell>
          <cell r="F25" t="str">
            <v>Trịnh Thị Nguyên Phương</v>
          </cell>
          <cell r="N25">
            <v>29436</v>
          </cell>
          <cell r="Q25" t="str">
            <v>Nữ</v>
          </cell>
          <cell r="S25" t="str">
            <v>VN</v>
          </cell>
          <cell r="AL25" t="str">
            <v>Thành phố Hà Nội</v>
          </cell>
        </row>
        <row r="26">
          <cell r="C26" t="str">
            <v>0103075906</v>
          </cell>
          <cell r="F26" t="str">
            <v>Đặng Anh Đào</v>
          </cell>
          <cell r="N26">
            <v>31500</v>
          </cell>
          <cell r="Q26" t="str">
            <v>Nữ</v>
          </cell>
          <cell r="S26" t="str">
            <v>VN</v>
          </cell>
          <cell r="AL26" t="str">
            <v>Thành phố Hà Nội</v>
          </cell>
        </row>
        <row r="27">
          <cell r="C27" t="str">
            <v>0103150060</v>
          </cell>
          <cell r="F27" t="str">
            <v>Nguyễn Ngọc Tuân</v>
          </cell>
          <cell r="N27">
            <v>29426</v>
          </cell>
          <cell r="Q27" t="str">
            <v>Nam</v>
          </cell>
          <cell r="S27" t="str">
            <v>VN</v>
          </cell>
          <cell r="AL27" t="str">
            <v>Thành phố Hà Nội</v>
          </cell>
        </row>
        <row r="28">
          <cell r="C28" t="str">
            <v>0103348409</v>
          </cell>
          <cell r="F28" t="str">
            <v>Hoàng Phương Chi</v>
          </cell>
          <cell r="N28">
            <v>29125</v>
          </cell>
          <cell r="Q28" t="str">
            <v>Nữ</v>
          </cell>
          <cell r="S28" t="str">
            <v>VN</v>
          </cell>
          <cell r="AL28" t="str">
            <v>Thành phố Hà Nội</v>
          </cell>
        </row>
        <row r="29">
          <cell r="C29" t="str">
            <v>0103348448</v>
          </cell>
          <cell r="F29" t="str">
            <v>Nguyễn Thanh Hương</v>
          </cell>
          <cell r="N29">
            <v>30434</v>
          </cell>
          <cell r="Q29" t="str">
            <v>Nữ</v>
          </cell>
          <cell r="S29" t="str">
            <v>VN</v>
          </cell>
          <cell r="AL29" t="str">
            <v>Thành phố Hà Nội</v>
          </cell>
        </row>
        <row r="30">
          <cell r="C30" t="str">
            <v>0103348494</v>
          </cell>
          <cell r="F30" t="str">
            <v>Nguyễn Thanh Vân</v>
          </cell>
          <cell r="N30">
            <v>20754</v>
          </cell>
          <cell r="Q30" t="str">
            <v>Nữ</v>
          </cell>
          <cell r="S30" t="str">
            <v>VN</v>
          </cell>
          <cell r="AL30" t="str">
            <v>Thành phố Hà Nội</v>
          </cell>
        </row>
        <row r="31">
          <cell r="C31" t="str">
            <v>0103348543</v>
          </cell>
          <cell r="F31" t="str">
            <v>Nguyễn Thị Huế</v>
          </cell>
          <cell r="N31">
            <v>28290</v>
          </cell>
          <cell r="Q31" t="str">
            <v>Nữ</v>
          </cell>
          <cell r="S31" t="str">
            <v>VN</v>
          </cell>
          <cell r="AL31" t="str">
            <v>Thành phố Hà Nội</v>
          </cell>
        </row>
        <row r="32">
          <cell r="C32" t="str">
            <v>0103348649</v>
          </cell>
          <cell r="F32" t="str">
            <v>Nguyễn Thị Vân</v>
          </cell>
          <cell r="N32">
            <v>29263</v>
          </cell>
          <cell r="Q32" t="str">
            <v>Nữ</v>
          </cell>
          <cell r="S32" t="str">
            <v>VN</v>
          </cell>
          <cell r="AL32" t="str">
            <v>Thành phố Hà Nội</v>
          </cell>
        </row>
        <row r="33">
          <cell r="C33" t="str">
            <v>0103348790</v>
          </cell>
          <cell r="F33" t="str">
            <v>Đoàn Thanh Sơn</v>
          </cell>
          <cell r="N33">
            <v>28047</v>
          </cell>
          <cell r="Q33" t="str">
            <v>Nam</v>
          </cell>
          <cell r="S33" t="str">
            <v>VN</v>
          </cell>
          <cell r="AL33" t="str">
            <v>Thành phố Hà Nội</v>
          </cell>
        </row>
        <row r="34">
          <cell r="C34" t="str">
            <v>0103782052</v>
          </cell>
          <cell r="F34" t="str">
            <v>Nguyễn Thị Thu Thủy</v>
          </cell>
          <cell r="N34">
            <v>31294</v>
          </cell>
          <cell r="Q34" t="str">
            <v>Nữ</v>
          </cell>
          <cell r="S34" t="str">
            <v>VN</v>
          </cell>
          <cell r="AL34" t="str">
            <v>Thành phố Hà Nội</v>
          </cell>
        </row>
        <row r="35">
          <cell r="C35" t="str">
            <v>0103830997</v>
          </cell>
          <cell r="F35" t="str">
            <v>Trần Ngọc Thắng</v>
          </cell>
          <cell r="N35">
            <v>30167</v>
          </cell>
          <cell r="Q35" t="str">
            <v>Nam</v>
          </cell>
          <cell r="S35" t="str">
            <v>VN</v>
          </cell>
          <cell r="AL35" t="str">
            <v>Thành phố Hà Nội</v>
          </cell>
        </row>
        <row r="36">
          <cell r="C36" t="str">
            <v>0104829602</v>
          </cell>
          <cell r="F36" t="str">
            <v>Nguyễn Minh Tuấn</v>
          </cell>
          <cell r="N36">
            <v>30335</v>
          </cell>
          <cell r="Q36" t="str">
            <v>Nam</v>
          </cell>
          <cell r="S36" t="str">
            <v>VN</v>
          </cell>
          <cell r="AL36" t="str">
            <v>Thành phố Hà Nội</v>
          </cell>
        </row>
        <row r="37">
          <cell r="C37" t="str">
            <v>0105135798</v>
          </cell>
          <cell r="F37" t="str">
            <v>Nguyễn Tú Anh</v>
          </cell>
          <cell r="N37">
            <v>31577</v>
          </cell>
          <cell r="Q37" t="str">
            <v>Nữ</v>
          </cell>
          <cell r="S37" t="str">
            <v>VN</v>
          </cell>
          <cell r="AL37" t="str">
            <v>Thành phố Hà Nội</v>
          </cell>
        </row>
        <row r="38">
          <cell r="C38" t="str">
            <v>0105513376</v>
          </cell>
          <cell r="F38" t="str">
            <v>Đinh Thị Thúy</v>
          </cell>
          <cell r="N38">
            <v>33354</v>
          </cell>
          <cell r="Q38" t="str">
            <v>Nữ</v>
          </cell>
          <cell r="S38" t="str">
            <v>VN</v>
          </cell>
          <cell r="AL38" t="str">
            <v>Thành phố Hà Nội</v>
          </cell>
        </row>
        <row r="39">
          <cell r="C39" t="str">
            <v>0105955462</v>
          </cell>
          <cell r="F39" t="str">
            <v>Vũ Thị Thu Hà</v>
          </cell>
          <cell r="N39">
            <v>27707</v>
          </cell>
          <cell r="Q39" t="str">
            <v>Nữ</v>
          </cell>
          <cell r="S39" t="str">
            <v>VN</v>
          </cell>
          <cell r="AL39" t="str">
            <v>Thành phố Hà Nội</v>
          </cell>
        </row>
        <row r="40">
          <cell r="C40" t="str">
            <v>0106148165</v>
          </cell>
          <cell r="F40" t="str">
            <v>Nguyễn Thị Kim Chi</v>
          </cell>
          <cell r="N40">
            <v>27944</v>
          </cell>
          <cell r="Q40" t="str">
            <v>Nữ</v>
          </cell>
          <cell r="S40" t="str">
            <v>VN</v>
          </cell>
          <cell r="AL40" t="str">
            <v>Thành phố Hà Nội</v>
          </cell>
        </row>
        <row r="41">
          <cell r="C41" t="str">
            <v>0106525582</v>
          </cell>
          <cell r="F41" t="str">
            <v>Đoàn Vân Anh</v>
          </cell>
          <cell r="N41">
            <v>31406</v>
          </cell>
          <cell r="Q41" t="str">
            <v>Nữ</v>
          </cell>
          <cell r="S41" t="str">
            <v>VN</v>
          </cell>
          <cell r="AL41" t="str">
            <v>Thành phố Hà Nội</v>
          </cell>
        </row>
        <row r="42">
          <cell r="C42" t="str">
            <v>0108504122</v>
          </cell>
          <cell r="F42" t="str">
            <v>Nguyễn Thị Thi</v>
          </cell>
          <cell r="N42">
            <v>35138</v>
          </cell>
          <cell r="Q42" t="str">
            <v>Nữ</v>
          </cell>
          <cell r="S42" t="str">
            <v>VN</v>
          </cell>
          <cell r="AL42" t="str">
            <v>Thành phố Hà Nội</v>
          </cell>
        </row>
        <row r="43">
          <cell r="C43" t="str">
            <v>0109504118</v>
          </cell>
          <cell r="F43" t="str">
            <v>Nguyễn Thị Lan Chung</v>
          </cell>
          <cell r="N43">
            <v>28957</v>
          </cell>
          <cell r="Q43" t="str">
            <v>Nữ</v>
          </cell>
          <cell r="S43" t="str">
            <v>VN</v>
          </cell>
          <cell r="AL43" t="str">
            <v>Thành phố Hà Nội</v>
          </cell>
        </row>
        <row r="44">
          <cell r="C44" t="str">
            <v>0131128402</v>
          </cell>
          <cell r="F44" t="str">
            <v>Trần Thu Hiền</v>
          </cell>
          <cell r="N44">
            <v>33330</v>
          </cell>
          <cell r="Q44" t="str">
            <v>Nữ</v>
          </cell>
          <cell r="S44" t="str">
            <v>VN</v>
          </cell>
          <cell r="AL44" t="str">
            <v>Thành phố Hà Nội</v>
          </cell>
        </row>
        <row r="45">
          <cell r="C45" t="str">
            <v>019194006974</v>
          </cell>
          <cell r="F45" t="str">
            <v>Lê Thuỳ Trang</v>
          </cell>
          <cell r="N45">
            <v>34600</v>
          </cell>
          <cell r="Q45" t="str">
            <v>Nữ</v>
          </cell>
          <cell r="S45" t="str">
            <v>VN</v>
          </cell>
          <cell r="AL45" t="str">
            <v>Thành phố Hà Nội</v>
          </cell>
        </row>
        <row r="46">
          <cell r="C46" t="str">
            <v>019202004149</v>
          </cell>
          <cell r="F46" t="str">
            <v>Phó Đức Nghĩa</v>
          </cell>
          <cell r="N46">
            <v>37292</v>
          </cell>
          <cell r="Q46" t="str">
            <v>Nam</v>
          </cell>
          <cell r="S46" t="str">
            <v>VN</v>
          </cell>
          <cell r="AL46" t="str">
            <v>Thành phố Hà Nội</v>
          </cell>
        </row>
        <row r="47">
          <cell r="C47" t="str">
            <v>019203007535</v>
          </cell>
          <cell r="F47" t="str">
            <v>Phạm Sơn Tùng</v>
          </cell>
          <cell r="N47">
            <v>37813</v>
          </cell>
          <cell r="Q47" t="str">
            <v>Nam</v>
          </cell>
          <cell r="S47" t="str">
            <v>VN</v>
          </cell>
          <cell r="AL47" t="str">
            <v>Thành phố Hà Nội</v>
          </cell>
        </row>
        <row r="48">
          <cell r="C48" t="str">
            <v>019304000592</v>
          </cell>
          <cell r="F48" t="str">
            <v>Phạm Thị Tùng Chi</v>
          </cell>
          <cell r="N48">
            <v>38195</v>
          </cell>
          <cell r="Q48" t="str">
            <v>Nữ</v>
          </cell>
          <cell r="S48" t="str">
            <v>VN</v>
          </cell>
          <cell r="AL48" t="str">
            <v>Thành phố Hà Nội</v>
          </cell>
        </row>
        <row r="49">
          <cell r="C49" t="str">
            <v>020099004620</v>
          </cell>
          <cell r="F49" t="str">
            <v>Lê Thanh Tùng</v>
          </cell>
          <cell r="N49">
            <v>36274</v>
          </cell>
          <cell r="Q49" t="str">
            <v>Nam</v>
          </cell>
          <cell r="S49" t="str">
            <v>VN</v>
          </cell>
          <cell r="AL49" t="str">
            <v>Thành phố Hà Nội</v>
          </cell>
        </row>
        <row r="50">
          <cell r="C50" t="str">
            <v>022200000613</v>
          </cell>
          <cell r="F50" t="str">
            <v>Nguyễn Ngọc Sơn</v>
          </cell>
          <cell r="N50">
            <v>36753</v>
          </cell>
          <cell r="Q50" t="str">
            <v>Nam</v>
          </cell>
          <cell r="S50" t="str">
            <v>VN</v>
          </cell>
          <cell r="AL50" t="str">
            <v>Thành phố Hà Nội</v>
          </cell>
        </row>
        <row r="51">
          <cell r="C51" t="str">
            <v>024194016076</v>
          </cell>
          <cell r="F51" t="str">
            <v>Nguyễn Thị Bích Phương</v>
          </cell>
          <cell r="N51">
            <v>34566</v>
          </cell>
          <cell r="Q51" t="str">
            <v>Nữ</v>
          </cell>
          <cell r="S51" t="str">
            <v>VN</v>
          </cell>
          <cell r="AL51" t="str">
            <v>Thành phố Hà Nội</v>
          </cell>
        </row>
        <row r="52">
          <cell r="C52" t="str">
            <v>024302004784</v>
          </cell>
          <cell r="F52" t="str">
            <v>Trần Thị Thu</v>
          </cell>
          <cell r="N52">
            <v>37316</v>
          </cell>
          <cell r="Q52" t="str">
            <v>Nữ</v>
          </cell>
          <cell r="S52" t="str">
            <v>VN</v>
          </cell>
          <cell r="AL52" t="str">
            <v>Thành phố Hà Nội</v>
          </cell>
        </row>
        <row r="53">
          <cell r="C53" t="str">
            <v>024303004102</v>
          </cell>
          <cell r="F53" t="str">
            <v>Phạm Thị Lan Anh</v>
          </cell>
          <cell r="N53">
            <v>37803</v>
          </cell>
          <cell r="Q53" t="str">
            <v>Nữ</v>
          </cell>
          <cell r="S53" t="str">
            <v>VN</v>
          </cell>
          <cell r="AL53" t="str">
            <v>Thành phố Hà Nội</v>
          </cell>
        </row>
        <row r="54">
          <cell r="C54" t="str">
            <v>026199002969</v>
          </cell>
          <cell r="F54" t="str">
            <v>Bùi Thị Phấn</v>
          </cell>
          <cell r="N54">
            <v>36248</v>
          </cell>
          <cell r="Q54" t="str">
            <v>Nữ</v>
          </cell>
          <cell r="S54" t="str">
            <v>VN</v>
          </cell>
          <cell r="AL54" t="str">
            <v>Thành phố Hà Nội</v>
          </cell>
        </row>
        <row r="55">
          <cell r="C55" t="str">
            <v>026301000435</v>
          </cell>
          <cell r="F55" t="str">
            <v>Lê Thị Tiểu Nhi</v>
          </cell>
          <cell r="N55">
            <v>37230</v>
          </cell>
          <cell r="Q55" t="str">
            <v>Nữ</v>
          </cell>
          <cell r="S55" t="str">
            <v>VN</v>
          </cell>
          <cell r="AL55" t="str">
            <v>Thành phố Hà Nội</v>
          </cell>
        </row>
        <row r="56">
          <cell r="C56" t="str">
            <v>026303002388</v>
          </cell>
          <cell r="F56" t="str">
            <v>Phùng Thị Mơ</v>
          </cell>
          <cell r="N56">
            <v>37747</v>
          </cell>
          <cell r="Q56" t="str">
            <v>Nữ</v>
          </cell>
          <cell r="S56" t="str">
            <v>VN</v>
          </cell>
          <cell r="AL56" t="str">
            <v>Thành phố Hà Nội</v>
          </cell>
        </row>
        <row r="57">
          <cell r="C57" t="str">
            <v>027203004469</v>
          </cell>
          <cell r="F57" t="str">
            <v>Trần Quốc Đạt</v>
          </cell>
          <cell r="N57">
            <v>37925</v>
          </cell>
          <cell r="Q57" t="str">
            <v>Nam</v>
          </cell>
          <cell r="S57" t="str">
            <v>VN</v>
          </cell>
          <cell r="AL57" t="str">
            <v>Thành phố Hà Nội</v>
          </cell>
        </row>
        <row r="58">
          <cell r="C58" t="str">
            <v>027300001021</v>
          </cell>
          <cell r="F58" t="str">
            <v>Phù Thị Phương</v>
          </cell>
          <cell r="N58">
            <v>36833</v>
          </cell>
          <cell r="Q58" t="str">
            <v>Nữ</v>
          </cell>
          <cell r="S58" t="str">
            <v>VN</v>
          </cell>
          <cell r="AL58" t="str">
            <v>Thành phố Hà Nội</v>
          </cell>
        </row>
        <row r="59">
          <cell r="C59" t="str">
            <v>0306215919</v>
          </cell>
          <cell r="F59" t="str">
            <v>Lê Thanh Hương</v>
          </cell>
          <cell r="N59">
            <v>22632</v>
          </cell>
          <cell r="Q59" t="str">
            <v>Nữ</v>
          </cell>
          <cell r="S59" t="str">
            <v>VN</v>
          </cell>
          <cell r="AL59" t="str">
            <v>Thành phố Hồ Chí Minh</v>
          </cell>
        </row>
        <row r="60">
          <cell r="C60" t="str">
            <v>0306217017</v>
          </cell>
          <cell r="F60" t="str">
            <v>Phan Ngọc Tường Vi</v>
          </cell>
          <cell r="N60">
            <v>26881</v>
          </cell>
          <cell r="Q60" t="str">
            <v>Nữ</v>
          </cell>
          <cell r="S60" t="str">
            <v>VN</v>
          </cell>
          <cell r="AL60" t="str">
            <v>Thành phố Hồ Chí Minh</v>
          </cell>
        </row>
        <row r="61">
          <cell r="C61" t="str">
            <v>0307077002</v>
          </cell>
          <cell r="F61" t="str">
            <v>Hoàng Thị Lệ Hằng</v>
          </cell>
          <cell r="N61">
            <v>26667</v>
          </cell>
          <cell r="Q61" t="str">
            <v>Nữ</v>
          </cell>
          <cell r="S61" t="str">
            <v>VN</v>
          </cell>
          <cell r="AL61" t="str">
            <v>Thành phố Hà Nội</v>
          </cell>
        </row>
        <row r="62">
          <cell r="C62" t="str">
            <v>0307409459</v>
          </cell>
          <cell r="F62" t="str">
            <v>Nguyễn Thị Thu Hiền</v>
          </cell>
          <cell r="N62">
            <v>29354</v>
          </cell>
          <cell r="Q62" t="str">
            <v>Nữ</v>
          </cell>
          <cell r="S62" t="str">
            <v>VN</v>
          </cell>
          <cell r="AL62" t="str">
            <v>Thành phố Hồ Chí Minh</v>
          </cell>
        </row>
        <row r="63">
          <cell r="C63" t="str">
            <v>0307443548</v>
          </cell>
          <cell r="F63" t="str">
            <v>Nguyễn Thu Trang</v>
          </cell>
          <cell r="N63">
            <v>25994</v>
          </cell>
          <cell r="Q63" t="str">
            <v>Nữ</v>
          </cell>
          <cell r="S63" t="str">
            <v>VN</v>
          </cell>
          <cell r="AL63" t="str">
            <v>Thành phố Hồ Chí Minh</v>
          </cell>
        </row>
        <row r="64">
          <cell r="C64" t="str">
            <v>0307647044</v>
          </cell>
          <cell r="F64" t="str">
            <v>Lê Văn Tưởng</v>
          </cell>
          <cell r="N64">
            <v>30812</v>
          </cell>
          <cell r="Q64" t="str">
            <v>Nam</v>
          </cell>
          <cell r="S64" t="str">
            <v>VN</v>
          </cell>
          <cell r="AL64" t="str">
            <v>Thành phố Hồ Chí Minh</v>
          </cell>
        </row>
        <row r="65">
          <cell r="C65" t="str">
            <v>0308095847</v>
          </cell>
          <cell r="F65" t="str">
            <v>Nguyễn Hà Phương</v>
          </cell>
          <cell r="N65">
            <v>30544</v>
          </cell>
          <cell r="Q65" t="str">
            <v>Nam</v>
          </cell>
          <cell r="S65" t="str">
            <v>VN</v>
          </cell>
          <cell r="AL65" t="str">
            <v>Thành phố Hồ Chí Minh</v>
          </cell>
        </row>
        <row r="66">
          <cell r="C66" t="str">
            <v>0308383316</v>
          </cell>
          <cell r="F66" t="str">
            <v>Phạm Thanh Nhân</v>
          </cell>
          <cell r="N66">
            <v>29337</v>
          </cell>
          <cell r="Q66" t="str">
            <v>Nam</v>
          </cell>
          <cell r="S66" t="str">
            <v>VN</v>
          </cell>
          <cell r="AL66" t="str">
            <v>Thành phố Hồ Chí Minh</v>
          </cell>
        </row>
        <row r="67">
          <cell r="C67" t="str">
            <v>0308383355</v>
          </cell>
          <cell r="F67" t="str">
            <v>Huỳnh Thị Bích Thủy</v>
          </cell>
          <cell r="N67">
            <v>29817</v>
          </cell>
          <cell r="Q67" t="str">
            <v>Nữ</v>
          </cell>
          <cell r="S67" t="str">
            <v>VN</v>
          </cell>
          <cell r="AL67" t="str">
            <v>Thành phố Hồ Chí Minh</v>
          </cell>
        </row>
        <row r="68">
          <cell r="C68" t="str">
            <v>0308383443</v>
          </cell>
          <cell r="F68" t="str">
            <v>Nguyễn Tấn Thành</v>
          </cell>
          <cell r="N68">
            <v>30098</v>
          </cell>
          <cell r="Q68" t="str">
            <v>Nam</v>
          </cell>
          <cell r="S68" t="str">
            <v>VN</v>
          </cell>
          <cell r="AL68" t="str">
            <v>Thành phố Hồ Chí Minh</v>
          </cell>
        </row>
        <row r="69">
          <cell r="C69" t="str">
            <v>0308383637</v>
          </cell>
          <cell r="F69" t="str">
            <v>Huỳnh Minh Châu</v>
          </cell>
          <cell r="N69">
            <v>31002</v>
          </cell>
          <cell r="Q69" t="str">
            <v>Nữ</v>
          </cell>
          <cell r="S69" t="str">
            <v>VN</v>
          </cell>
          <cell r="AL69" t="str">
            <v>Thành phố Hồ Chí Minh</v>
          </cell>
        </row>
        <row r="70">
          <cell r="C70" t="str">
            <v>0308383757</v>
          </cell>
          <cell r="F70" t="str">
            <v>Trần Đức Thành</v>
          </cell>
          <cell r="N70">
            <v>32106</v>
          </cell>
          <cell r="Q70" t="str">
            <v>Nam</v>
          </cell>
          <cell r="S70" t="str">
            <v>VN</v>
          </cell>
          <cell r="AL70" t="str">
            <v>Thành phố Hồ Chí Minh</v>
          </cell>
        </row>
        <row r="71">
          <cell r="C71" t="str">
            <v>0308584894</v>
          </cell>
          <cell r="F71" t="str">
            <v>Trương Thị Bích</v>
          </cell>
          <cell r="N71">
            <v>28392</v>
          </cell>
          <cell r="Q71" t="str">
            <v>Nữ</v>
          </cell>
          <cell r="S71" t="str">
            <v>VN</v>
          </cell>
          <cell r="AL71" t="str">
            <v>Thành phố Hồ Chí Minh</v>
          </cell>
        </row>
        <row r="72">
          <cell r="C72" t="str">
            <v>0308830074</v>
          </cell>
          <cell r="F72" t="str">
            <v>Trịnh Khắc Tỉnh</v>
          </cell>
          <cell r="N72">
            <v>30896</v>
          </cell>
          <cell r="Q72" t="str">
            <v>Nam</v>
          </cell>
          <cell r="S72" t="str">
            <v>VN</v>
          </cell>
          <cell r="AL72" t="str">
            <v>Thành phố Hồ Chí Minh</v>
          </cell>
        </row>
        <row r="73">
          <cell r="C73" t="str">
            <v>0309398883</v>
          </cell>
          <cell r="F73" t="str">
            <v>Dương Hoài Bảo</v>
          </cell>
          <cell r="N73">
            <v>31663</v>
          </cell>
          <cell r="Q73" t="str">
            <v>Nam</v>
          </cell>
          <cell r="S73" t="str">
            <v>VN</v>
          </cell>
          <cell r="AL73" t="str">
            <v>Thành phố Hồ Chí Minh</v>
          </cell>
        </row>
        <row r="74">
          <cell r="C74" t="str">
            <v>031097006787</v>
          </cell>
          <cell r="F74" t="str">
            <v>Mai Duy Hưng</v>
          </cell>
          <cell r="N74">
            <v>35597</v>
          </cell>
          <cell r="Q74" t="str">
            <v>Nam</v>
          </cell>
          <cell r="S74" t="str">
            <v>VN</v>
          </cell>
        </row>
        <row r="75">
          <cell r="C75" t="str">
            <v>0312611131</v>
          </cell>
          <cell r="F75" t="str">
            <v>Phan Thị Thu Hồng</v>
          </cell>
          <cell r="N75">
            <v>33844</v>
          </cell>
          <cell r="Q75" t="str">
            <v>Nữ</v>
          </cell>
          <cell r="S75" t="str">
            <v>VN</v>
          </cell>
          <cell r="AL75" t="str">
            <v>Thành phố Hồ Chí Minh</v>
          </cell>
        </row>
        <row r="76">
          <cell r="C76" t="str">
            <v>031301008490</v>
          </cell>
          <cell r="F76" t="str">
            <v>Nguyễn Phương Linh</v>
          </cell>
          <cell r="N76">
            <v>36987</v>
          </cell>
          <cell r="Q76" t="str">
            <v>Nữ</v>
          </cell>
          <cell r="S76" t="str">
            <v>VN</v>
          </cell>
          <cell r="AL76" t="str">
            <v>Thành phố Hà Nội</v>
          </cell>
        </row>
        <row r="77">
          <cell r="C77" t="str">
            <v>031302004995</v>
          </cell>
          <cell r="F77" t="str">
            <v>Nguyễn Trần Ngọc Anh</v>
          </cell>
          <cell r="N77">
            <v>37281</v>
          </cell>
          <cell r="Q77" t="str">
            <v>Nữ</v>
          </cell>
          <cell r="S77" t="str">
            <v>VN</v>
          </cell>
          <cell r="AL77" t="str">
            <v>Thành phố Hà Nội</v>
          </cell>
        </row>
        <row r="78">
          <cell r="C78" t="str">
            <v>031303001125</v>
          </cell>
          <cell r="F78" t="str">
            <v>Phạm Thị Phương Anh</v>
          </cell>
          <cell r="N78">
            <v>37703</v>
          </cell>
          <cell r="Q78" t="str">
            <v>Nữ</v>
          </cell>
          <cell r="S78" t="str">
            <v>VN</v>
          </cell>
          <cell r="AL78" t="str">
            <v>Thành phố Hà Nội</v>
          </cell>
        </row>
        <row r="79">
          <cell r="C79" t="str">
            <v>033099003878</v>
          </cell>
          <cell r="F79" t="str">
            <v>Phạm Hoàng Việt</v>
          </cell>
          <cell r="N79">
            <v>36412</v>
          </cell>
          <cell r="Q79" t="str">
            <v>Nam</v>
          </cell>
          <cell r="S79" t="str">
            <v>VN</v>
          </cell>
          <cell r="AL79" t="str">
            <v>Thành phố Hà Nội</v>
          </cell>
        </row>
        <row r="80">
          <cell r="C80" t="str">
            <v>033184030690</v>
          </cell>
          <cell r="F80" t="str">
            <v>Đào Thị Hạnh</v>
          </cell>
          <cell r="N80">
            <v>30955</v>
          </cell>
          <cell r="Q80" t="str">
            <v>Nữ</v>
          </cell>
          <cell r="S80" t="str">
            <v>VN</v>
          </cell>
          <cell r="AL80" t="str">
            <v>Thành phố Hà Nội</v>
          </cell>
        </row>
        <row r="81">
          <cell r="C81" t="str">
            <v>033200000289</v>
          </cell>
          <cell r="F81" t="str">
            <v>Phạm Gia Khiêm</v>
          </cell>
          <cell r="N81">
            <v>36679</v>
          </cell>
          <cell r="Q81" t="str">
            <v>Nam</v>
          </cell>
          <cell r="S81" t="str">
            <v>VN</v>
          </cell>
          <cell r="AL81" t="str">
            <v>Thành phố Hà Nội</v>
          </cell>
        </row>
        <row r="82">
          <cell r="C82" t="str">
            <v>033203006612</v>
          </cell>
          <cell r="F82" t="str">
            <v>Nguyễn Lương Thế Phương</v>
          </cell>
          <cell r="N82">
            <v>37933</v>
          </cell>
          <cell r="Q82" t="str">
            <v>Nam</v>
          </cell>
          <cell r="S82" t="str">
            <v>VN</v>
          </cell>
          <cell r="AL82" t="str">
            <v>Thành phố Hà Nội</v>
          </cell>
        </row>
        <row r="83">
          <cell r="C83" t="str">
            <v>033303002450</v>
          </cell>
          <cell r="F83" t="str">
            <v>Đào Bích Ngọc</v>
          </cell>
          <cell r="N83">
            <v>37673</v>
          </cell>
          <cell r="Q83" t="str">
            <v>Nữ</v>
          </cell>
          <cell r="S83" t="str">
            <v>VN</v>
          </cell>
          <cell r="AL83" t="str">
            <v>Thành phố Hà Nội</v>
          </cell>
        </row>
        <row r="84">
          <cell r="C84" t="str">
            <v>033304003602</v>
          </cell>
          <cell r="F84" t="str">
            <v>Dương Thị Thuỳ</v>
          </cell>
          <cell r="N84">
            <v>38316</v>
          </cell>
          <cell r="Q84" t="str">
            <v>Nữ</v>
          </cell>
          <cell r="S84" t="str">
            <v>VN</v>
          </cell>
          <cell r="AL84" t="str">
            <v>Thành phố Hà Nội</v>
          </cell>
        </row>
        <row r="85">
          <cell r="C85" t="str">
            <v>034097009083</v>
          </cell>
          <cell r="F85" t="str">
            <v>Nguyễn Hiệp Quyền</v>
          </cell>
          <cell r="N85">
            <v>35612</v>
          </cell>
          <cell r="Q85" t="str">
            <v>Nam</v>
          </cell>
          <cell r="S85" t="str">
            <v>VN</v>
          </cell>
          <cell r="AL85" t="str">
            <v>Thành phố Hà Nội</v>
          </cell>
        </row>
        <row r="86">
          <cell r="C86" t="str">
            <v>034099003228</v>
          </cell>
          <cell r="F86" t="str">
            <v>Phạm Quốc Đạt</v>
          </cell>
          <cell r="N86">
            <v>36173</v>
          </cell>
          <cell r="Q86" t="str">
            <v>Nam</v>
          </cell>
          <cell r="S86" t="str">
            <v>VN</v>
          </cell>
          <cell r="AL86" t="str">
            <v>Thành phố Hà Nội</v>
          </cell>
        </row>
        <row r="87">
          <cell r="C87" t="str">
            <v>034099004592</v>
          </cell>
          <cell r="F87" t="str">
            <v>Phạm Quang Huy</v>
          </cell>
          <cell r="N87">
            <v>36222</v>
          </cell>
          <cell r="Q87" t="str">
            <v>Nam</v>
          </cell>
          <cell r="S87" t="str">
            <v>VN</v>
          </cell>
          <cell r="AL87" t="str">
            <v>Thành phố Hà Nội</v>
          </cell>
        </row>
        <row r="88">
          <cell r="C88" t="str">
            <v>034196002924</v>
          </cell>
          <cell r="F88" t="str">
            <v>Mai Thị Thu Huyền</v>
          </cell>
          <cell r="N88">
            <v>35430</v>
          </cell>
          <cell r="Q88" t="str">
            <v>Nữ</v>
          </cell>
          <cell r="S88" t="str">
            <v>VN</v>
          </cell>
          <cell r="AL88" t="str">
            <v>Thành phố Hà Nội</v>
          </cell>
        </row>
        <row r="89">
          <cell r="C89" t="str">
            <v>034196010560</v>
          </cell>
          <cell r="F89" t="str">
            <v>Đỗ Thị Thuỳ Linh</v>
          </cell>
          <cell r="N89">
            <v>35291</v>
          </cell>
          <cell r="Q89" t="str">
            <v>Nữ</v>
          </cell>
          <cell r="S89" t="str">
            <v>VN</v>
          </cell>
          <cell r="AL89" t="str">
            <v>Thành phố Hà Nội</v>
          </cell>
        </row>
        <row r="90">
          <cell r="C90" t="str">
            <v>034199001625</v>
          </cell>
          <cell r="F90" t="str">
            <v>Nguyễn Thị Diệu Linh</v>
          </cell>
          <cell r="N90">
            <v>36200</v>
          </cell>
          <cell r="Q90" t="str">
            <v>Nữ</v>
          </cell>
          <cell r="S90" t="str">
            <v>VN</v>
          </cell>
          <cell r="AL90" t="str">
            <v>Thành phố Hà Nội</v>
          </cell>
        </row>
        <row r="91">
          <cell r="C91" t="str">
            <v>034203010572</v>
          </cell>
          <cell r="F91" t="str">
            <v>Đào Minh Đức</v>
          </cell>
          <cell r="N91">
            <v>37838</v>
          </cell>
          <cell r="Q91" t="str">
            <v>Nam</v>
          </cell>
          <cell r="S91" t="str">
            <v>VN</v>
          </cell>
          <cell r="AL91" t="str">
            <v>Thành phố Hà Nội</v>
          </cell>
        </row>
        <row r="92">
          <cell r="C92" t="str">
            <v>035199001328</v>
          </cell>
          <cell r="F92" t="str">
            <v>Trần Thị Ngọc</v>
          </cell>
          <cell r="N92">
            <v>36275</v>
          </cell>
          <cell r="Q92" t="str">
            <v>Nữ</v>
          </cell>
          <cell r="S92" t="str">
            <v>VN</v>
          </cell>
          <cell r="AL92" t="str">
            <v>Thành phố Hà Nội</v>
          </cell>
        </row>
        <row r="93">
          <cell r="C93" t="str">
            <v>035199003988</v>
          </cell>
          <cell r="F93" t="str">
            <v>Nguyễn Diệu Lý</v>
          </cell>
          <cell r="N93">
            <v>36385</v>
          </cell>
          <cell r="Q93" t="str">
            <v>Nữ</v>
          </cell>
          <cell r="S93" t="str">
            <v>VN</v>
          </cell>
          <cell r="AL93" t="str">
            <v>Thành phố Hà Nội</v>
          </cell>
        </row>
        <row r="94">
          <cell r="C94" t="str">
            <v>035200004881</v>
          </cell>
          <cell r="F94" t="str">
            <v>Nguyễn Hoàng Phi</v>
          </cell>
          <cell r="N94">
            <v>36733</v>
          </cell>
          <cell r="Q94" t="str">
            <v>Nam</v>
          </cell>
          <cell r="S94" t="str">
            <v>VN</v>
          </cell>
          <cell r="AL94" t="str">
            <v>Thành phố Hà Nội</v>
          </cell>
        </row>
        <row r="95">
          <cell r="C95" t="str">
            <v>035203002353</v>
          </cell>
          <cell r="F95" t="str">
            <v>Hoàng Nhật Minh</v>
          </cell>
          <cell r="N95">
            <v>37962</v>
          </cell>
          <cell r="Q95" t="str">
            <v>Nữ</v>
          </cell>
          <cell r="S95" t="str">
            <v>VN</v>
          </cell>
          <cell r="AL95" t="str">
            <v>Thành phố Hà Nội</v>
          </cell>
        </row>
        <row r="96">
          <cell r="C96" t="str">
            <v>035203003700</v>
          </cell>
          <cell r="F96" t="str">
            <v>Nguyễn Quốc Tuấn Anh</v>
          </cell>
          <cell r="N96">
            <v>37767</v>
          </cell>
          <cell r="Q96" t="str">
            <v>Nam</v>
          </cell>
          <cell r="S96" t="str">
            <v>VN</v>
          </cell>
          <cell r="AL96" t="str">
            <v>Thành phố Hà Nội</v>
          </cell>
        </row>
        <row r="97">
          <cell r="C97" t="str">
            <v>035203004056</v>
          </cell>
          <cell r="F97" t="str">
            <v>Nguyễn Đắc Hậu</v>
          </cell>
          <cell r="N97">
            <v>37879</v>
          </cell>
          <cell r="Q97" t="str">
            <v>Nam</v>
          </cell>
          <cell r="S97" t="str">
            <v>VN</v>
          </cell>
          <cell r="AL97" t="str">
            <v>Thành phố Hà Nội</v>
          </cell>
        </row>
        <row r="98">
          <cell r="C98" t="str">
            <v>036091023294</v>
          </cell>
          <cell r="F98" t="str">
            <v>Nguyễn Thế Anh</v>
          </cell>
          <cell r="N98">
            <v>33457</v>
          </cell>
          <cell r="Q98" t="str">
            <v>Nam</v>
          </cell>
          <cell r="S98" t="str">
            <v>VN</v>
          </cell>
          <cell r="AL98" t="str">
            <v>Thành phố Hà Nội</v>
          </cell>
        </row>
        <row r="99">
          <cell r="C99" t="str">
            <v>036300006879</v>
          </cell>
          <cell r="F99" t="str">
            <v>Vũ Thị Trang</v>
          </cell>
          <cell r="N99">
            <v>36724</v>
          </cell>
          <cell r="Q99" t="str">
            <v>Nữ</v>
          </cell>
          <cell r="S99" t="str">
            <v>VN</v>
          </cell>
          <cell r="AL99" t="str">
            <v>Thành phố Hà Nội</v>
          </cell>
        </row>
        <row r="100">
          <cell r="C100" t="str">
            <v>036301002588</v>
          </cell>
          <cell r="F100" t="str">
            <v>Nguyễn Thị Ngọc Linh</v>
          </cell>
          <cell r="N100">
            <v>36971</v>
          </cell>
          <cell r="Q100" t="str">
            <v>Nữ</v>
          </cell>
          <cell r="S100" t="str">
            <v>VN</v>
          </cell>
          <cell r="AL100" t="str">
            <v>Thành phố Hà Nội</v>
          </cell>
        </row>
        <row r="101">
          <cell r="C101" t="str">
            <v>036303002901</v>
          </cell>
          <cell r="F101" t="str">
            <v>Vũ Trần Mỹ Anh</v>
          </cell>
          <cell r="N101">
            <v>37774</v>
          </cell>
          <cell r="Q101" t="str">
            <v>Nữ</v>
          </cell>
          <cell r="S101" t="str">
            <v>VN</v>
          </cell>
          <cell r="AL101" t="str">
            <v>Thành phố Hồ Chí Minh</v>
          </cell>
        </row>
        <row r="102">
          <cell r="C102" t="str">
            <v>037095001664</v>
          </cell>
          <cell r="F102" t="str">
            <v>Nguyễn Đức Thành</v>
          </cell>
          <cell r="N102">
            <v>34826</v>
          </cell>
          <cell r="Q102" t="str">
            <v>Nam</v>
          </cell>
          <cell r="S102" t="str">
            <v>VN</v>
          </cell>
          <cell r="AL102" t="str">
            <v>Thành phố Hà Nội</v>
          </cell>
        </row>
        <row r="103">
          <cell r="C103" t="str">
            <v>037199000268</v>
          </cell>
          <cell r="F103" t="str">
            <v>Phạm Thị Minh Nguyệt</v>
          </cell>
          <cell r="N103">
            <v>36329</v>
          </cell>
          <cell r="Q103" t="str">
            <v>Nữ</v>
          </cell>
          <cell r="S103" t="str">
            <v>VN</v>
          </cell>
          <cell r="AL103" t="str">
            <v>Thành phố Hà Nội</v>
          </cell>
        </row>
        <row r="104">
          <cell r="C104" t="str">
            <v>038192026024</v>
          </cell>
          <cell r="F104" t="str">
            <v>Nguyễn Thị Lan</v>
          </cell>
          <cell r="N104">
            <v>33800</v>
          </cell>
          <cell r="Q104" t="str">
            <v>Nữ</v>
          </cell>
          <cell r="S104" t="str">
            <v>VN</v>
          </cell>
          <cell r="AL104" t="str">
            <v>Thành phố Hà Nội</v>
          </cell>
        </row>
        <row r="105">
          <cell r="C105" t="str">
            <v>038199009516</v>
          </cell>
          <cell r="F105" t="str">
            <v>Nguyễn Thị Phương Thu</v>
          </cell>
          <cell r="N105">
            <v>36206</v>
          </cell>
          <cell r="Q105" t="str">
            <v>Nữ</v>
          </cell>
          <cell r="S105" t="str">
            <v>VN</v>
          </cell>
          <cell r="AL105" t="str">
            <v>Thành phố Hà Nội</v>
          </cell>
        </row>
        <row r="106">
          <cell r="C106" t="str">
            <v>038301020321</v>
          </cell>
          <cell r="F106" t="str">
            <v>Lê Khánh Linh</v>
          </cell>
          <cell r="N106">
            <v>46204</v>
          </cell>
          <cell r="Q106" t="str">
            <v>Nữ</v>
          </cell>
          <cell r="S106" t="str">
            <v>VN</v>
          </cell>
          <cell r="AL106" t="str">
            <v>Thành phố Hà Nội</v>
          </cell>
        </row>
        <row r="107">
          <cell r="C107" t="str">
            <v>038303005376</v>
          </cell>
          <cell r="F107" t="str">
            <v>Nguyễn Thị Phương Mai</v>
          </cell>
          <cell r="N107">
            <v>37935</v>
          </cell>
          <cell r="Q107" t="str">
            <v>Nữ</v>
          </cell>
          <cell r="S107" t="str">
            <v>VN</v>
          </cell>
          <cell r="AL107" t="str">
            <v>Thành phố Hà Nội</v>
          </cell>
        </row>
        <row r="108">
          <cell r="C108" t="str">
            <v>038304028430</v>
          </cell>
          <cell r="F108" t="str">
            <v>Trần Phương Thảo</v>
          </cell>
          <cell r="N108">
            <v>38200</v>
          </cell>
          <cell r="Q108" t="str">
            <v>Nữ</v>
          </cell>
          <cell r="S108" t="str">
            <v>VN</v>
          </cell>
          <cell r="AL108" t="str">
            <v>Thành phố Hà Nội</v>
          </cell>
        </row>
        <row r="109">
          <cell r="C109" t="str">
            <v>040301012333</v>
          </cell>
          <cell r="F109" t="str">
            <v>Nguyễn Thị Ngọc Huyền</v>
          </cell>
          <cell r="N109">
            <v>37171</v>
          </cell>
          <cell r="Q109" t="str">
            <v>Nữ</v>
          </cell>
          <cell r="S109" t="str">
            <v>VN</v>
          </cell>
          <cell r="AL109" t="str">
            <v>Thành phố Hà Nội</v>
          </cell>
        </row>
        <row r="110">
          <cell r="C110" t="str">
            <v>042302000351</v>
          </cell>
          <cell r="F110" t="str">
            <v>Lê Thị Quỳnh Nga</v>
          </cell>
          <cell r="N110">
            <v>37437</v>
          </cell>
          <cell r="Q110" t="str">
            <v>Nữ</v>
          </cell>
          <cell r="S110" t="str">
            <v>VN</v>
          </cell>
          <cell r="AL110" t="str">
            <v>Thành phố Hà Nội</v>
          </cell>
        </row>
        <row r="111">
          <cell r="C111" t="str">
            <v>044191006797</v>
          </cell>
          <cell r="F111" t="str">
            <v>Trần Thị Quỳnh Như</v>
          </cell>
          <cell r="N111">
            <v>33477</v>
          </cell>
          <cell r="Q111" t="str">
            <v>Nữ</v>
          </cell>
          <cell r="S111" t="str">
            <v>VN</v>
          </cell>
          <cell r="AL111" t="str">
            <v>Thành phố Hồ Chí Minh</v>
          </cell>
        </row>
        <row r="112">
          <cell r="C112" t="str">
            <v>045203003487</v>
          </cell>
          <cell r="F112" t="str">
            <v>Nguyễn Phúc Đạt</v>
          </cell>
          <cell r="N112">
            <v>37622</v>
          </cell>
          <cell r="Q112" t="str">
            <v>Nam</v>
          </cell>
          <cell r="S112" t="str">
            <v>VN</v>
          </cell>
          <cell r="AL112" t="str">
            <v>Thành phố Hồ Chí Minh</v>
          </cell>
        </row>
        <row r="113">
          <cell r="C113" t="str">
            <v>046099013567</v>
          </cell>
          <cell r="F113" t="str">
            <v>Nguyễn Hữu Nhật Ban</v>
          </cell>
          <cell r="N113">
            <v>36396</v>
          </cell>
          <cell r="Q113" t="str">
            <v>Nam</v>
          </cell>
          <cell r="S113" t="str">
            <v>VN</v>
          </cell>
          <cell r="AL113" t="str">
            <v>Thành phố Hồ Chí Minh</v>
          </cell>
        </row>
        <row r="114">
          <cell r="C114" t="str">
            <v>049099003259</v>
          </cell>
          <cell r="F114" t="str">
            <v>Phan Minh Sáng</v>
          </cell>
          <cell r="N114">
            <v>36390</v>
          </cell>
          <cell r="Q114" t="str">
            <v>Nam</v>
          </cell>
          <cell r="S114" t="str">
            <v>VN</v>
          </cell>
          <cell r="AL114" t="str">
            <v>Thành phố Hồ Chí Minh</v>
          </cell>
        </row>
        <row r="115">
          <cell r="C115" t="str">
            <v>049301011649</v>
          </cell>
          <cell r="F115" t="str">
            <v>Võ Thị Kim Thoa</v>
          </cell>
          <cell r="N115">
            <v>37201</v>
          </cell>
          <cell r="Q115" t="str">
            <v>Nữ</v>
          </cell>
          <cell r="S115" t="str">
            <v>VN</v>
          </cell>
          <cell r="AL115" t="str">
            <v>Thành phố Hồ Chí Minh</v>
          </cell>
        </row>
        <row r="116">
          <cell r="C116" t="str">
            <v>051099009138</v>
          </cell>
          <cell r="F116" t="str">
            <v>Lê Thành Lộc</v>
          </cell>
          <cell r="N116">
            <v>36290</v>
          </cell>
          <cell r="Q116" t="str">
            <v>Nam</v>
          </cell>
          <cell r="S116" t="str">
            <v>VN</v>
          </cell>
          <cell r="AL116" t="str">
            <v>Thành phố Hồ Chí Minh</v>
          </cell>
        </row>
        <row r="117">
          <cell r="C117" t="str">
            <v>051304011359</v>
          </cell>
          <cell r="F117" t="str">
            <v>Phạm Hồng Như Ý</v>
          </cell>
          <cell r="N117">
            <v>37999</v>
          </cell>
          <cell r="Q117" t="str">
            <v>Nữ</v>
          </cell>
          <cell r="S117" t="str">
            <v>VN</v>
          </cell>
          <cell r="AL117" t="str">
            <v>Thành phố Hồ Chí Minh</v>
          </cell>
        </row>
        <row r="118">
          <cell r="C118" t="str">
            <v>052098004741</v>
          </cell>
          <cell r="F118" t="str">
            <v>Lê Thành Nhân</v>
          </cell>
          <cell r="N118">
            <v>35981</v>
          </cell>
          <cell r="Q118" t="str">
            <v>Nam</v>
          </cell>
          <cell r="S118" t="str">
            <v>VN</v>
          </cell>
          <cell r="AL118" t="str">
            <v>Thành phố Hồ Chí Minh</v>
          </cell>
        </row>
        <row r="119">
          <cell r="C119" t="str">
            <v>052201010808</v>
          </cell>
          <cell r="F119" t="str">
            <v>Hồ Sĩ Tiến</v>
          </cell>
          <cell r="N119">
            <v>36892</v>
          </cell>
          <cell r="Q119" t="str">
            <v>Nam</v>
          </cell>
          <cell r="S119" t="str">
            <v>VN</v>
          </cell>
          <cell r="AL119" t="str">
            <v>Thành phố Hồ Chí Minh</v>
          </cell>
        </row>
        <row r="120">
          <cell r="C120" t="str">
            <v>052303004785</v>
          </cell>
          <cell r="F120" t="str">
            <v>Lê Thị Mỹ Linh</v>
          </cell>
          <cell r="N120">
            <v>37706</v>
          </cell>
          <cell r="Q120" t="str">
            <v>Nữ</v>
          </cell>
          <cell r="S120" t="str">
            <v>VN</v>
          </cell>
          <cell r="AL120" t="str">
            <v>Thành phố Hồ Chí Minh</v>
          </cell>
        </row>
        <row r="121">
          <cell r="C121" t="str">
            <v>056301007101</v>
          </cell>
          <cell r="F121" t="str">
            <v>Lương Thị Anh Thư</v>
          </cell>
          <cell r="N121">
            <v>37080</v>
          </cell>
          <cell r="Q121" t="str">
            <v>Nữ</v>
          </cell>
          <cell r="S121" t="str">
            <v>VN</v>
          </cell>
          <cell r="AL121" t="str">
            <v>Thành phố Hồ Chí Minh</v>
          </cell>
        </row>
        <row r="122">
          <cell r="C122" t="str">
            <v>056301012135</v>
          </cell>
          <cell r="F122" t="str">
            <v>Võ Ngọc Thanh Tân</v>
          </cell>
          <cell r="N122">
            <v>37070</v>
          </cell>
          <cell r="Q122" t="str">
            <v>Nữ</v>
          </cell>
          <cell r="S122" t="str">
            <v>VN</v>
          </cell>
          <cell r="AL122" t="str">
            <v>Thành phố Hồ Chí Minh</v>
          </cell>
        </row>
        <row r="123">
          <cell r="C123" t="str">
            <v>058203002434</v>
          </cell>
          <cell r="F123" t="str">
            <v>Phan Nguyễn Bảo Huy</v>
          </cell>
          <cell r="N123">
            <v>37984</v>
          </cell>
          <cell r="Q123" t="str">
            <v>Nam</v>
          </cell>
          <cell r="S123" t="str">
            <v>VN</v>
          </cell>
          <cell r="AL123" t="str">
            <v>Thành phố Hồ Chí Minh</v>
          </cell>
        </row>
        <row r="124">
          <cell r="C124" t="str">
            <v>060097006304</v>
          </cell>
          <cell r="F124" t="str">
            <v>Nguyễn Trung Kiên</v>
          </cell>
          <cell r="N124">
            <v>35689</v>
          </cell>
          <cell r="Q124" t="str">
            <v>Nam</v>
          </cell>
          <cell r="S124" t="str">
            <v>VN</v>
          </cell>
          <cell r="AL124" t="str">
            <v>Thành phố Hồ Chí Minh</v>
          </cell>
        </row>
        <row r="125">
          <cell r="C125" t="str">
            <v>060204002398</v>
          </cell>
          <cell r="F125" t="str">
            <v>Phạm Tấn Phát</v>
          </cell>
          <cell r="N125">
            <v>38128</v>
          </cell>
          <cell r="Q125" t="str">
            <v>Nam</v>
          </cell>
          <cell r="S125" t="str">
            <v>VN</v>
          </cell>
          <cell r="AL125" t="str">
            <v>Thành phố Hồ Chí Minh</v>
          </cell>
        </row>
        <row r="126">
          <cell r="C126" t="str">
            <v>062098000146</v>
          </cell>
          <cell r="F126" t="str">
            <v>Trần Tiến Dũng</v>
          </cell>
          <cell r="N126">
            <v>35979</v>
          </cell>
          <cell r="Q126" t="str">
            <v>Nam</v>
          </cell>
          <cell r="S126" t="str">
            <v>VN</v>
          </cell>
          <cell r="AL126" t="str">
            <v>Thành phố Hồ Chí Minh</v>
          </cell>
        </row>
        <row r="127">
          <cell r="C127" t="str">
            <v>066202008947</v>
          </cell>
          <cell r="F127" t="str">
            <v>Trần Ánh Dương</v>
          </cell>
          <cell r="N127">
            <v>37306</v>
          </cell>
          <cell r="Q127" t="str">
            <v>Nam</v>
          </cell>
          <cell r="S127" t="str">
            <v>VN</v>
          </cell>
          <cell r="AL127" t="str">
            <v>Thành phố Hồ Chí Minh</v>
          </cell>
        </row>
        <row r="128">
          <cell r="C128" t="str">
            <v>066204000046</v>
          </cell>
          <cell r="F128" t="str">
            <v>Lương Ngọc Vinh</v>
          </cell>
          <cell r="N128">
            <v>38079</v>
          </cell>
          <cell r="Q128" t="str">
            <v>Nam</v>
          </cell>
          <cell r="S128" t="str">
            <v>VN</v>
          </cell>
          <cell r="AL128" t="str">
            <v>Thành phố Hà Nội</v>
          </cell>
        </row>
        <row r="129">
          <cell r="C129" t="str">
            <v>067301002217</v>
          </cell>
          <cell r="F129" t="str">
            <v>Nguyễn Thị Thảo Hiền</v>
          </cell>
          <cell r="N129">
            <v>36972</v>
          </cell>
          <cell r="Q129" t="str">
            <v>Nữ</v>
          </cell>
          <cell r="S129" t="str">
            <v>VN</v>
          </cell>
          <cell r="AL129" t="str">
            <v>Thành phố Hồ Chí Minh</v>
          </cell>
        </row>
        <row r="130">
          <cell r="C130" t="str">
            <v>068201000464</v>
          </cell>
          <cell r="F130" t="str">
            <v>Nguyễn Đức Thành</v>
          </cell>
          <cell r="N130">
            <v>37090</v>
          </cell>
          <cell r="Q130" t="str">
            <v>Nam</v>
          </cell>
          <cell r="S130" t="str">
            <v>VN</v>
          </cell>
          <cell r="AL130" t="str">
            <v>Thành phố Hồ Chí Minh</v>
          </cell>
        </row>
        <row r="131">
          <cell r="C131" t="str">
            <v>068203009780</v>
          </cell>
          <cell r="F131" t="str">
            <v>Lương Văn Tâm</v>
          </cell>
          <cell r="N131">
            <v>37895</v>
          </cell>
          <cell r="Q131" t="str">
            <v>Nam</v>
          </cell>
          <cell r="S131" t="str">
            <v>VN</v>
          </cell>
          <cell r="AL131" t="str">
            <v>Thành phố Hồ Chí Minh</v>
          </cell>
        </row>
        <row r="132">
          <cell r="C132" t="str">
            <v>075300014987</v>
          </cell>
          <cell r="F132" t="str">
            <v>Trịnh Thị Thúy Kiều</v>
          </cell>
          <cell r="N132">
            <v>36842</v>
          </cell>
          <cell r="Q132" t="str">
            <v>Nữ</v>
          </cell>
          <cell r="S132" t="str">
            <v>VN</v>
          </cell>
          <cell r="AL132" t="str">
            <v>Thành phố Hồ Chí Minh</v>
          </cell>
        </row>
        <row r="133">
          <cell r="C133" t="str">
            <v>075304022377</v>
          </cell>
          <cell r="F133" t="str">
            <v>Nguyễn Trần Phương An</v>
          </cell>
          <cell r="N133">
            <v>38310</v>
          </cell>
          <cell r="Q133" t="str">
            <v>Nữ</v>
          </cell>
          <cell r="S133" t="str">
            <v>VN</v>
          </cell>
          <cell r="AL133" t="str">
            <v>Thành phố Hồ Chí Minh</v>
          </cell>
        </row>
        <row r="134">
          <cell r="C134" t="str">
            <v>077099007172</v>
          </cell>
          <cell r="F134" t="str">
            <v>Nguyễn Đức Tú</v>
          </cell>
          <cell r="N134">
            <v>36316</v>
          </cell>
          <cell r="Q134" t="str">
            <v>Nam</v>
          </cell>
          <cell r="S134" t="str">
            <v>VN</v>
          </cell>
          <cell r="AL134" t="str">
            <v>Thành phố Hồ Chí Minh</v>
          </cell>
        </row>
        <row r="135">
          <cell r="C135" t="str">
            <v>079091014393</v>
          </cell>
          <cell r="F135" t="str">
            <v>Hà Gia Quyền</v>
          </cell>
          <cell r="N135">
            <v>33347</v>
          </cell>
          <cell r="Q135" t="str">
            <v>Nam</v>
          </cell>
          <cell r="S135" t="str">
            <v>VN</v>
          </cell>
          <cell r="AL135" t="str">
            <v>Thành phố Hồ Chí Minh</v>
          </cell>
        </row>
        <row r="136">
          <cell r="C136" t="str">
            <v>079092027251</v>
          </cell>
          <cell r="F136" t="str">
            <v>Lê Trường Thịnh</v>
          </cell>
          <cell r="N136">
            <v>33703</v>
          </cell>
          <cell r="Q136" t="str">
            <v>Nam</v>
          </cell>
          <cell r="S136" t="str">
            <v>VN</v>
          </cell>
          <cell r="AL136" t="str">
            <v>Thành phố Hồ Chí Minh</v>
          </cell>
        </row>
        <row r="137">
          <cell r="C137" t="str">
            <v>079094003217</v>
          </cell>
          <cell r="F137" t="str">
            <v>Lâm Chí Thiện</v>
          </cell>
          <cell r="N137">
            <v>34655</v>
          </cell>
          <cell r="Q137" t="str">
            <v>Nam</v>
          </cell>
          <cell r="S137" t="str">
            <v>VN</v>
          </cell>
          <cell r="AL137" t="str">
            <v>Thành phố Hồ Chí Minh</v>
          </cell>
        </row>
        <row r="138">
          <cell r="C138" t="str">
            <v>079094015323</v>
          </cell>
          <cell r="F138" t="str">
            <v>Phạm Hồng An</v>
          </cell>
          <cell r="N138">
            <v>34555</v>
          </cell>
          <cell r="Q138" t="str">
            <v>Nam</v>
          </cell>
          <cell r="S138" t="str">
            <v>VN</v>
          </cell>
          <cell r="AL138" t="str">
            <v>Thành phố Hồ Chí Minh</v>
          </cell>
        </row>
        <row r="139">
          <cell r="C139" t="str">
            <v>079200044757</v>
          </cell>
          <cell r="F139" t="str">
            <v>Nguyễn Lê Bảo Long</v>
          </cell>
          <cell r="N139">
            <v>36625</v>
          </cell>
          <cell r="Q139" t="str">
            <v>Nam</v>
          </cell>
          <cell r="S139" t="str">
            <v>VN</v>
          </cell>
          <cell r="AL139" t="str">
            <v>Thành phố Hồ Chí Minh</v>
          </cell>
        </row>
        <row r="140">
          <cell r="C140" t="str">
            <v>079201007416</v>
          </cell>
          <cell r="F140" t="str">
            <v>Huỳnh Gia Thống</v>
          </cell>
          <cell r="N140">
            <v>37103</v>
          </cell>
          <cell r="Q140" t="str">
            <v>Nam</v>
          </cell>
          <cell r="S140" t="str">
            <v>VN</v>
          </cell>
          <cell r="AL140" t="str">
            <v>Thành phố Hồ Chí Minh</v>
          </cell>
        </row>
        <row r="141">
          <cell r="C141" t="str">
            <v>079201024415</v>
          </cell>
          <cell r="F141" t="str">
            <v>Vĩnh Bảo Huy</v>
          </cell>
          <cell r="N141">
            <v>36914</v>
          </cell>
          <cell r="Q141" t="str">
            <v>Nam</v>
          </cell>
          <cell r="S141" t="str">
            <v>VN</v>
          </cell>
          <cell r="AL141" t="str">
            <v>Tỉnh Bình Dương</v>
          </cell>
        </row>
        <row r="142">
          <cell r="C142" t="str">
            <v>079202010601</v>
          </cell>
          <cell r="F142" t="str">
            <v>Huỳnh Thái Dương</v>
          </cell>
          <cell r="N142">
            <v>37594</v>
          </cell>
          <cell r="Q142" t="str">
            <v>Nam</v>
          </cell>
          <cell r="S142" t="str">
            <v>VN</v>
          </cell>
          <cell r="AL142" t="str">
            <v>Thành phố Hồ Chí Minh</v>
          </cell>
        </row>
        <row r="143">
          <cell r="C143" t="str">
            <v>079202018349</v>
          </cell>
          <cell r="F143" t="str">
            <v>Nguyễn Thành Đạt</v>
          </cell>
          <cell r="N143">
            <v>37564</v>
          </cell>
          <cell r="Q143" t="str">
            <v>Nam</v>
          </cell>
          <cell r="S143" t="str">
            <v>VN</v>
          </cell>
          <cell r="AL143" t="str">
            <v>Thành phố Hồ Chí Minh</v>
          </cell>
        </row>
        <row r="144">
          <cell r="C144" t="str">
            <v>079202019720</v>
          </cell>
          <cell r="F144" t="str">
            <v>Nguyễn Văn Minh Thường</v>
          </cell>
          <cell r="N144">
            <v>37474</v>
          </cell>
          <cell r="Q144" t="str">
            <v>Nam</v>
          </cell>
          <cell r="S144" t="str">
            <v>VN</v>
          </cell>
          <cell r="AL144" t="str">
            <v>Thành phố Hồ Chí Minh</v>
          </cell>
        </row>
        <row r="145">
          <cell r="C145" t="str">
            <v>079203027892</v>
          </cell>
          <cell r="F145" t="str">
            <v>Đường Gia Huy</v>
          </cell>
          <cell r="N145">
            <v>37877</v>
          </cell>
          <cell r="Q145" t="str">
            <v>Nam</v>
          </cell>
          <cell r="S145" t="str">
            <v>VN</v>
          </cell>
          <cell r="AL145" t="str">
            <v>Thành phố Hồ Chí Minh</v>
          </cell>
        </row>
        <row r="146">
          <cell r="C146" t="str">
            <v>079203029924</v>
          </cell>
          <cell r="F146" t="str">
            <v>Nguyễn Thành Trí</v>
          </cell>
          <cell r="N146">
            <v>37708</v>
          </cell>
          <cell r="Q146" t="str">
            <v>Nam</v>
          </cell>
          <cell r="S146" t="str">
            <v>VN</v>
          </cell>
          <cell r="AL146" t="str">
            <v>Thành phố Hồ Chí Minh</v>
          </cell>
        </row>
        <row r="147">
          <cell r="C147" t="str">
            <v>079302013082</v>
          </cell>
          <cell r="F147" t="str">
            <v>Nguyễn Lưu Thanh Ngân</v>
          </cell>
          <cell r="N147">
            <v>37396</v>
          </cell>
          <cell r="Q147" t="str">
            <v>Nữ</v>
          </cell>
          <cell r="S147" t="str">
            <v>VN</v>
          </cell>
          <cell r="AL147" t="str">
            <v>Thành phố Hồ Chí Minh</v>
          </cell>
        </row>
        <row r="148">
          <cell r="C148" t="str">
            <v>080097002498</v>
          </cell>
          <cell r="F148" t="str">
            <v>Nguyễn Đặng Hoàng Lân</v>
          </cell>
          <cell r="N148">
            <v>35677</v>
          </cell>
          <cell r="Q148" t="str">
            <v>Nam</v>
          </cell>
          <cell r="S148" t="str">
            <v>VN</v>
          </cell>
          <cell r="AL148" t="str">
            <v>Thành phố Hồ Chí Minh</v>
          </cell>
        </row>
        <row r="149">
          <cell r="C149" t="str">
            <v>080203002172</v>
          </cell>
          <cell r="F149" t="str">
            <v>Nguyễn Hoàng Lâm</v>
          </cell>
          <cell r="N149">
            <v>37916</v>
          </cell>
          <cell r="Q149" t="str">
            <v>Nam</v>
          </cell>
          <cell r="S149" t="str">
            <v>VN</v>
          </cell>
          <cell r="AL149" t="str">
            <v>Thành phố Hồ Chí Minh</v>
          </cell>
        </row>
        <row r="150">
          <cell r="C150" t="str">
            <v>082201000310</v>
          </cell>
          <cell r="F150" t="str">
            <v>Lê Minh Thuận</v>
          </cell>
          <cell r="N150">
            <v>37007</v>
          </cell>
          <cell r="Q150" t="str">
            <v>Nam</v>
          </cell>
          <cell r="S150" t="str">
            <v>VN</v>
          </cell>
          <cell r="AL150" t="str">
            <v>Thành phố Hồ Chí Minh</v>
          </cell>
        </row>
        <row r="151">
          <cell r="C151" t="str">
            <v>082303009652</v>
          </cell>
          <cell r="F151" t="str">
            <v>Phùng Thị Cẩm Tiên</v>
          </cell>
          <cell r="N151">
            <v>37781</v>
          </cell>
          <cell r="Q151" t="str">
            <v>Nữ</v>
          </cell>
          <cell r="S151" t="str">
            <v>VN</v>
          </cell>
          <cell r="AL151" t="str">
            <v>Thành phố Hồ Chí Minh</v>
          </cell>
        </row>
        <row r="152">
          <cell r="C152" t="str">
            <v>084303006277</v>
          </cell>
          <cell r="F152" t="str">
            <v>Huỳnh Triệu Quyễn Lam</v>
          </cell>
          <cell r="N152">
            <v>37720</v>
          </cell>
          <cell r="Q152" t="str">
            <v>Nữ</v>
          </cell>
          <cell r="S152" t="str">
            <v>VN</v>
          </cell>
          <cell r="AL152" t="str">
            <v>Thành phố Hồ Chí Minh</v>
          </cell>
        </row>
        <row r="153">
          <cell r="C153" t="str">
            <v>086200006328</v>
          </cell>
          <cell r="F153" t="str">
            <v>Nguyễn Đặng Hoàng Quân</v>
          </cell>
          <cell r="N153">
            <v>36565</v>
          </cell>
          <cell r="Q153" t="str">
            <v>Nam</v>
          </cell>
          <cell r="S153" t="str">
            <v>VN</v>
          </cell>
          <cell r="AL153" t="str">
            <v>Thành phố Hồ Chí Minh</v>
          </cell>
        </row>
        <row r="154">
          <cell r="C154" t="str">
            <v>086301000985</v>
          </cell>
          <cell r="F154" t="str">
            <v>Huỳnh Phương Tú Như</v>
          </cell>
          <cell r="N154">
            <v>37118</v>
          </cell>
          <cell r="Q154" t="str">
            <v>Nữ</v>
          </cell>
          <cell r="S154" t="str">
            <v>VN</v>
          </cell>
          <cell r="AL154" t="str">
            <v>Thành phố Hồ Chí Minh</v>
          </cell>
        </row>
        <row r="155">
          <cell r="C155" t="str">
            <v>086303007348</v>
          </cell>
          <cell r="F155" t="str">
            <v>Trần Tâm Nhã</v>
          </cell>
          <cell r="N155">
            <v>37943</v>
          </cell>
          <cell r="Q155" t="str">
            <v>Nữ</v>
          </cell>
          <cell r="S155" t="str">
            <v>VN</v>
          </cell>
          <cell r="AL155" t="str">
            <v>Thành phố Hồ Chí Minh</v>
          </cell>
        </row>
        <row r="156">
          <cell r="C156" t="str">
            <v>087201013023</v>
          </cell>
          <cell r="F156" t="str">
            <v>Huỳnh Hữu Tình</v>
          </cell>
          <cell r="N156">
            <v>37017</v>
          </cell>
          <cell r="Q156" t="str">
            <v>Nam</v>
          </cell>
          <cell r="S156" t="str">
            <v>VN</v>
          </cell>
          <cell r="AL156" t="str">
            <v>Thành phố Hồ Chí Minh</v>
          </cell>
        </row>
        <row r="157">
          <cell r="C157" t="str">
            <v>087300000239</v>
          </cell>
          <cell r="F157" t="str">
            <v>Lê Thị Hồng Thùy</v>
          </cell>
          <cell r="N157">
            <v>36891</v>
          </cell>
          <cell r="Q157" t="str">
            <v>Nữ</v>
          </cell>
          <cell r="S157" t="str">
            <v>VN</v>
          </cell>
          <cell r="AL157" t="str">
            <v>Thành phố Hồ Chí Minh</v>
          </cell>
        </row>
        <row r="158">
          <cell r="C158" t="str">
            <v>089097004991</v>
          </cell>
          <cell r="F158" t="str">
            <v>Nguyễn Minh Giang</v>
          </cell>
          <cell r="N158">
            <v>35694</v>
          </cell>
          <cell r="Q158" t="str">
            <v>Nam</v>
          </cell>
          <cell r="S158" t="str">
            <v>VN</v>
          </cell>
          <cell r="AL158" t="str">
            <v>Thành phố Hồ Chí Minh</v>
          </cell>
        </row>
        <row r="159">
          <cell r="C159" t="str">
            <v>092303000917</v>
          </cell>
          <cell r="F159" t="str">
            <v>Nguyễn Hồng Ngọc</v>
          </cell>
          <cell r="N159">
            <v>37858</v>
          </cell>
          <cell r="Q159" t="str">
            <v>Nữ</v>
          </cell>
          <cell r="S159" t="str">
            <v>VN</v>
          </cell>
          <cell r="AL159" t="str">
            <v>Thành phố Cần Thơ</v>
          </cell>
        </row>
        <row r="160">
          <cell r="C160" t="str">
            <v>092304002299</v>
          </cell>
          <cell r="F160" t="str">
            <v>Nguyễn Huỳnh Lộc Như</v>
          </cell>
          <cell r="N160">
            <v>38004</v>
          </cell>
          <cell r="Q160" t="str">
            <v>Nữ</v>
          </cell>
          <cell r="S160" t="str">
            <v>VN</v>
          </cell>
          <cell r="AL160" t="str">
            <v>Thành phố Hồ Chí Minh</v>
          </cell>
        </row>
        <row r="161">
          <cell r="C161" t="str">
            <v>093187000488</v>
          </cell>
          <cell r="F161" t="str">
            <v>Bùi Thụy Bảo Trân</v>
          </cell>
          <cell r="N161">
            <v>31930</v>
          </cell>
          <cell r="Q161" t="str">
            <v>Nữ</v>
          </cell>
          <cell r="S161" t="str">
            <v>VN</v>
          </cell>
          <cell r="AL161" t="str">
            <v>Thành phố Cần Thơ</v>
          </cell>
        </row>
        <row r="162">
          <cell r="C162" t="str">
            <v>095099000115</v>
          </cell>
          <cell r="F162" t="str">
            <v>Châu Minh Hiền</v>
          </cell>
          <cell r="N162">
            <v>36479</v>
          </cell>
          <cell r="Q162" t="str">
            <v>Nam</v>
          </cell>
          <cell r="S162" t="str">
            <v>VN</v>
          </cell>
          <cell r="AL162" t="str">
            <v>Thành phố Hồ Chí Minh</v>
          </cell>
        </row>
        <row r="163">
          <cell r="C163" t="str">
            <v>096199008105</v>
          </cell>
          <cell r="F163" t="str">
            <v>Bùi Thị Minh Anh</v>
          </cell>
          <cell r="N163">
            <v>36402</v>
          </cell>
          <cell r="Q163" t="str">
            <v>Nữ</v>
          </cell>
          <cell r="S163" t="str">
            <v>VN</v>
          </cell>
          <cell r="AL163" t="str">
            <v>Thành phố Hồ Chí Minh</v>
          </cell>
        </row>
        <row r="164">
          <cell r="C164" t="str">
            <v>096301010164</v>
          </cell>
          <cell r="F164" t="str">
            <v>Nguyễn Thị Cẩm Hường</v>
          </cell>
          <cell r="N164">
            <v>37056</v>
          </cell>
          <cell r="Q164" t="str">
            <v>Nữ</v>
          </cell>
          <cell r="S164" t="str">
            <v>VN</v>
          </cell>
          <cell r="AL164" t="str">
            <v>Thành phố Hồ Chí Minh</v>
          </cell>
        </row>
        <row r="165">
          <cell r="C165" t="str">
            <v>1400599527</v>
          </cell>
          <cell r="F165" t="str">
            <v>Nguyễn Văn Hoàng</v>
          </cell>
          <cell r="N165">
            <v>23743</v>
          </cell>
          <cell r="Q165" t="str">
            <v>Nam</v>
          </cell>
          <cell r="S165" t="str">
            <v>VN</v>
          </cell>
          <cell r="AL165" t="str">
            <v>Thành phố Hồ Chí Minh</v>
          </cell>
        </row>
        <row r="166">
          <cell r="C166" t="str">
            <v>3300821919</v>
          </cell>
          <cell r="F166" t="str">
            <v>Lê Doãn Trí Minh</v>
          </cell>
          <cell r="N166">
            <v>30506</v>
          </cell>
          <cell r="Q166" t="str">
            <v>Nam</v>
          </cell>
          <cell r="S166" t="str">
            <v>VN</v>
          </cell>
          <cell r="AL166" t="str">
            <v>Thành phố Đà Nẵng</v>
          </cell>
        </row>
        <row r="167">
          <cell r="C167" t="str">
            <v>4101435773</v>
          </cell>
          <cell r="F167" t="str">
            <v>Dương Tú Thi</v>
          </cell>
          <cell r="N167">
            <v>35351</v>
          </cell>
          <cell r="Q167" t="str">
            <v>Nữ</v>
          </cell>
          <cell r="S167" t="str">
            <v>VN</v>
          </cell>
          <cell r="AL167" t="str">
            <v>Thành phố Đà Nẵng</v>
          </cell>
        </row>
        <row r="168">
          <cell r="C168" t="str">
            <v>4800599608</v>
          </cell>
          <cell r="F168" t="str">
            <v>Phan Viết Tuệ</v>
          </cell>
          <cell r="N168">
            <v>32210</v>
          </cell>
          <cell r="Q168" t="str">
            <v>Nam</v>
          </cell>
          <cell r="S168" t="str">
            <v>VN</v>
          </cell>
          <cell r="AL168" t="str">
            <v>Thành phố Hà Nội</v>
          </cell>
        </row>
        <row r="169">
          <cell r="C169" t="str">
            <v>8002196754</v>
          </cell>
          <cell r="F169" t="str">
            <v>Ngô Thị Thúy</v>
          </cell>
          <cell r="N169">
            <v>31256</v>
          </cell>
          <cell r="Q169" t="str">
            <v>Nữ</v>
          </cell>
          <cell r="S169" t="str">
            <v>VN</v>
          </cell>
          <cell r="AL169" t="str">
            <v>Thành phố Hà Nội</v>
          </cell>
        </row>
        <row r="170">
          <cell r="C170" t="str">
            <v>8002321067</v>
          </cell>
          <cell r="F170" t="str">
            <v>Lý Thanh Nga</v>
          </cell>
          <cell r="N170">
            <v>28940</v>
          </cell>
          <cell r="Q170" t="str">
            <v>Nữ</v>
          </cell>
          <cell r="S170" t="str">
            <v>VN</v>
          </cell>
          <cell r="AL170" t="str">
            <v>Thành phố Hà Nội</v>
          </cell>
        </row>
        <row r="171">
          <cell r="C171" t="str">
            <v>8002570401</v>
          </cell>
          <cell r="F171" t="str">
            <v>Nguyễn Diệu Linh</v>
          </cell>
          <cell r="N171">
            <v>30166</v>
          </cell>
          <cell r="Q171" t="str">
            <v>Nữ</v>
          </cell>
          <cell r="S171" t="str">
            <v>VN</v>
          </cell>
          <cell r="AL171" t="str">
            <v>Thành phố Hà Nội</v>
          </cell>
        </row>
        <row r="172">
          <cell r="C172" t="str">
            <v>8002571638</v>
          </cell>
          <cell r="F172" t="str">
            <v>Nguyễn Thị Trâm Anh</v>
          </cell>
          <cell r="N172">
            <v>29158</v>
          </cell>
          <cell r="Q172" t="str">
            <v>Nữ</v>
          </cell>
          <cell r="S172" t="str">
            <v>VN</v>
          </cell>
          <cell r="AL172" t="str">
            <v>Thành phố Hà Nội</v>
          </cell>
        </row>
        <row r="173">
          <cell r="C173" t="str">
            <v>8002854072</v>
          </cell>
          <cell r="F173" t="str">
            <v>Nguyễn Thị Hải Hoàng</v>
          </cell>
          <cell r="N173">
            <v>31493</v>
          </cell>
          <cell r="Q173" t="str">
            <v>Nữ</v>
          </cell>
          <cell r="S173" t="str">
            <v>VN</v>
          </cell>
          <cell r="AL173" t="str">
            <v>Thành phố Hồ Chí Minh</v>
          </cell>
        </row>
        <row r="174">
          <cell r="C174" t="str">
            <v>8002979466</v>
          </cell>
          <cell r="F174" t="str">
            <v>Ngô Văn Sáu</v>
          </cell>
          <cell r="N174">
            <v>28352</v>
          </cell>
          <cell r="Q174" t="str">
            <v>Nam</v>
          </cell>
          <cell r="S174" t="str">
            <v>VN</v>
          </cell>
          <cell r="AL174" t="str">
            <v>Thành phố Hà Nội</v>
          </cell>
        </row>
        <row r="175">
          <cell r="C175" t="str">
            <v>8003060273</v>
          </cell>
          <cell r="F175" t="str">
            <v>Phan Thị Thanh Thúy</v>
          </cell>
          <cell r="N175">
            <v>32136</v>
          </cell>
          <cell r="Q175" t="str">
            <v>Nữ</v>
          </cell>
          <cell r="S175" t="str">
            <v>VN</v>
          </cell>
          <cell r="AL175" t="str">
            <v>Thành phố Hồ Chí Minh</v>
          </cell>
        </row>
        <row r="176">
          <cell r="C176" t="str">
            <v>8003330145</v>
          </cell>
          <cell r="F176" t="str">
            <v>Phạm Thị Minh Khánh</v>
          </cell>
          <cell r="N176">
            <v>29226</v>
          </cell>
          <cell r="Q176" t="str">
            <v>Nữ</v>
          </cell>
          <cell r="S176" t="str">
            <v>VN</v>
          </cell>
          <cell r="AL176" t="str">
            <v>Thành phố Hồ Chí Minh</v>
          </cell>
        </row>
        <row r="177">
          <cell r="C177" t="str">
            <v>8003781123</v>
          </cell>
          <cell r="F177" t="str">
            <v>Huỳnh Mỹ Trang</v>
          </cell>
          <cell r="N177">
            <v>31420</v>
          </cell>
          <cell r="Q177" t="str">
            <v>Nữ</v>
          </cell>
          <cell r="S177" t="str">
            <v>VN</v>
          </cell>
          <cell r="AL177" t="str">
            <v>Thành phố Hồ Chí Minh</v>
          </cell>
        </row>
        <row r="178">
          <cell r="C178" t="str">
            <v>8005189480</v>
          </cell>
          <cell r="F178" t="str">
            <v>Phạm Tùng Phong</v>
          </cell>
          <cell r="N178">
            <v>29837</v>
          </cell>
          <cell r="Q178" t="str">
            <v>Nam</v>
          </cell>
          <cell r="S178" t="str">
            <v>VN</v>
          </cell>
          <cell r="AL178" t="str">
            <v>Thành phố Hà Nội</v>
          </cell>
        </row>
        <row r="179">
          <cell r="C179" t="str">
            <v>8006696211</v>
          </cell>
          <cell r="F179" t="str">
            <v>Nguyễn Tân Tiến</v>
          </cell>
          <cell r="N179">
            <v>25288</v>
          </cell>
          <cell r="Q179" t="str">
            <v>Nam</v>
          </cell>
          <cell r="S179" t="str">
            <v>VN</v>
          </cell>
          <cell r="AL179" t="str">
            <v>Thành phố Hồ Chí Minh</v>
          </cell>
        </row>
        <row r="180">
          <cell r="C180" t="str">
            <v>8007094153</v>
          </cell>
          <cell r="F180" t="str">
            <v>Ngô Hùng Thắng</v>
          </cell>
          <cell r="N180">
            <v>23712</v>
          </cell>
          <cell r="Q180" t="str">
            <v>Nam</v>
          </cell>
          <cell r="S180" t="str">
            <v>VN</v>
          </cell>
          <cell r="AL180" t="str">
            <v>Thành phố Hà Nội</v>
          </cell>
        </row>
        <row r="181">
          <cell r="C181" t="str">
            <v>8007882725</v>
          </cell>
          <cell r="F181" t="str">
            <v>Phạm Hồng Quang</v>
          </cell>
          <cell r="N181">
            <v>24039</v>
          </cell>
          <cell r="Q181" t="str">
            <v>Nam</v>
          </cell>
          <cell r="S181" t="str">
            <v>VN</v>
          </cell>
          <cell r="AL181" t="str">
            <v>Thành phố Hà Nội</v>
          </cell>
        </row>
        <row r="182">
          <cell r="C182" t="str">
            <v>8008114620</v>
          </cell>
          <cell r="F182" t="str">
            <v>Tạ Nguyễn Duy</v>
          </cell>
          <cell r="N182">
            <v>29238</v>
          </cell>
          <cell r="Q182" t="str">
            <v>Nam</v>
          </cell>
          <cell r="S182" t="str">
            <v>VN</v>
          </cell>
          <cell r="AL182" t="str">
            <v>Thành phố Hồ Chí Minh</v>
          </cell>
        </row>
        <row r="183">
          <cell r="C183" t="str">
            <v>8008565888</v>
          </cell>
          <cell r="F183" t="str">
            <v>Nguyễn Thanh Nga</v>
          </cell>
          <cell r="N183">
            <v>26113</v>
          </cell>
          <cell r="Q183" t="str">
            <v>Nữ</v>
          </cell>
          <cell r="S183" t="str">
            <v>VN</v>
          </cell>
          <cell r="AL183" t="str">
            <v>Thành phố Hà Nội</v>
          </cell>
        </row>
        <row r="184">
          <cell r="C184" t="str">
            <v>8008840213</v>
          </cell>
          <cell r="F184" t="str">
            <v>Phạm Trung Dũng</v>
          </cell>
          <cell r="N184">
            <v>25673</v>
          </cell>
          <cell r="Q184" t="str">
            <v>Nam</v>
          </cell>
          <cell r="S184" t="str">
            <v>VN</v>
          </cell>
          <cell r="AL184" t="str">
            <v>Thành phố Hà Nội</v>
          </cell>
        </row>
        <row r="185">
          <cell r="C185" t="str">
            <v>8009430499</v>
          </cell>
          <cell r="F185" t="str">
            <v>Hồ Thị Ngọc Tuyết</v>
          </cell>
          <cell r="N185">
            <v>29770</v>
          </cell>
          <cell r="Q185" t="str">
            <v>Nữ</v>
          </cell>
          <cell r="S185" t="str">
            <v>VN</v>
          </cell>
          <cell r="AL185" t="str">
            <v>Thành phố Hà Nội</v>
          </cell>
        </row>
        <row r="186">
          <cell r="C186" t="str">
            <v>8009508265</v>
          </cell>
          <cell r="F186" t="str">
            <v>Nguyễn Minh Đức</v>
          </cell>
          <cell r="N186">
            <v>30390</v>
          </cell>
          <cell r="Q186" t="str">
            <v>Nam</v>
          </cell>
          <cell r="S186" t="str">
            <v>VN</v>
          </cell>
          <cell r="AL186" t="str">
            <v>Thành phố Hà Nội</v>
          </cell>
        </row>
        <row r="187">
          <cell r="C187" t="str">
            <v>8009769228</v>
          </cell>
          <cell r="F187" t="str">
            <v>Nguyễn Văn Trung</v>
          </cell>
          <cell r="N187">
            <v>27477</v>
          </cell>
          <cell r="Q187" t="str">
            <v>Nam</v>
          </cell>
          <cell r="S187" t="str">
            <v>VN</v>
          </cell>
          <cell r="AL187" t="str">
            <v>Thành phố Hà Nội</v>
          </cell>
        </row>
        <row r="188">
          <cell r="C188" t="str">
            <v>8009785195</v>
          </cell>
          <cell r="F188" t="str">
            <v>Nguyễn Anh Tuấn</v>
          </cell>
          <cell r="N188">
            <v>28429</v>
          </cell>
          <cell r="Q188" t="str">
            <v>Nam</v>
          </cell>
          <cell r="S188" t="str">
            <v>VN</v>
          </cell>
          <cell r="AL188" t="str">
            <v>Thành phố Hà Nội</v>
          </cell>
        </row>
        <row r="189">
          <cell r="C189" t="str">
            <v>8009786914</v>
          </cell>
          <cell r="F189" t="str">
            <v>Trịnh Hoàng Nam</v>
          </cell>
          <cell r="N189">
            <v>30909</v>
          </cell>
          <cell r="Q189" t="str">
            <v>Nam</v>
          </cell>
          <cell r="S189" t="str">
            <v>VN</v>
          </cell>
          <cell r="AL189" t="str">
            <v>Thành phố Hà Nội</v>
          </cell>
        </row>
        <row r="190">
          <cell r="C190" t="str">
            <v>8009808879</v>
          </cell>
          <cell r="F190" t="str">
            <v>Lê Thị Tuyết</v>
          </cell>
          <cell r="N190">
            <v>30249</v>
          </cell>
          <cell r="Q190" t="str">
            <v>Nữ</v>
          </cell>
          <cell r="S190" t="str">
            <v>VN</v>
          </cell>
          <cell r="AL190" t="str">
            <v>Thành phố Hà Nội</v>
          </cell>
        </row>
        <row r="191">
          <cell r="C191" t="str">
            <v>8010190273</v>
          </cell>
          <cell r="F191" t="str">
            <v>Phạm Duy Khánh</v>
          </cell>
          <cell r="N191">
            <v>31006</v>
          </cell>
          <cell r="Q191" t="str">
            <v>Nam</v>
          </cell>
          <cell r="S191" t="str">
            <v>VN</v>
          </cell>
          <cell r="AL191" t="str">
            <v>Thành phố Hà Nội</v>
          </cell>
        </row>
        <row r="192">
          <cell r="C192" t="str">
            <v>8011029446</v>
          </cell>
          <cell r="F192" t="str">
            <v>Phùng Thị Hồng Thu</v>
          </cell>
          <cell r="N192">
            <v>31132</v>
          </cell>
          <cell r="Q192" t="str">
            <v>Nữ</v>
          </cell>
          <cell r="S192" t="str">
            <v>VN</v>
          </cell>
          <cell r="AL192" t="str">
            <v>Thành phố Hà Nội</v>
          </cell>
        </row>
        <row r="193">
          <cell r="C193" t="str">
            <v>8011029615</v>
          </cell>
          <cell r="F193" t="str">
            <v>Đặng Thị Lý</v>
          </cell>
          <cell r="N193">
            <v>30158</v>
          </cell>
          <cell r="Q193" t="str">
            <v>Nữ</v>
          </cell>
          <cell r="S193" t="str">
            <v>VN</v>
          </cell>
          <cell r="AL193" t="str">
            <v>Thành phố Hà Nội</v>
          </cell>
        </row>
        <row r="194">
          <cell r="C194" t="str">
            <v>8011560054</v>
          </cell>
          <cell r="F194" t="str">
            <v>Mai Đình Tuấn</v>
          </cell>
          <cell r="N194">
            <v>29879</v>
          </cell>
          <cell r="Q194" t="str">
            <v>Nam</v>
          </cell>
          <cell r="S194" t="str">
            <v>VN</v>
          </cell>
          <cell r="AL194" t="str">
            <v>Thành phố Hồ Chí Minh</v>
          </cell>
        </row>
        <row r="195">
          <cell r="C195" t="str">
            <v>8012507857</v>
          </cell>
          <cell r="F195" t="str">
            <v>Phạm Hồng Thúy</v>
          </cell>
          <cell r="N195">
            <v>31189</v>
          </cell>
          <cell r="Q195" t="str">
            <v>Nữ</v>
          </cell>
          <cell r="S195" t="str">
            <v>VN</v>
          </cell>
          <cell r="AL195" t="str">
            <v>Thành phố Hà Nội</v>
          </cell>
        </row>
        <row r="196">
          <cell r="C196" t="str">
            <v>8012849970</v>
          </cell>
          <cell r="F196" t="str">
            <v>Nguyễn Ngọc Trường</v>
          </cell>
          <cell r="N196">
            <v>31446</v>
          </cell>
          <cell r="Q196" t="str">
            <v>Nam</v>
          </cell>
          <cell r="S196" t="str">
            <v>VN</v>
          </cell>
          <cell r="AL196" t="str">
            <v>Thành phố Hà Nội</v>
          </cell>
        </row>
        <row r="197">
          <cell r="C197" t="str">
            <v>8012850260</v>
          </cell>
          <cell r="F197" t="str">
            <v>Nguyễn Huy Hoàng</v>
          </cell>
          <cell r="N197">
            <v>31727</v>
          </cell>
          <cell r="Q197" t="str">
            <v>Nam</v>
          </cell>
          <cell r="S197" t="str">
            <v>VN</v>
          </cell>
          <cell r="AL197" t="str">
            <v>Thành phố Hà Nội</v>
          </cell>
        </row>
        <row r="198">
          <cell r="C198" t="str">
            <v>8013600841</v>
          </cell>
          <cell r="F198" t="str">
            <v>Nguyễn Thị Xuân Hoa</v>
          </cell>
          <cell r="N198">
            <v>30523</v>
          </cell>
          <cell r="Q198" t="str">
            <v>Nữ</v>
          </cell>
          <cell r="S198" t="str">
            <v>VN</v>
          </cell>
          <cell r="AL198" t="str">
            <v>Thành phố Hồ Chí Minh</v>
          </cell>
        </row>
        <row r="199">
          <cell r="C199" t="str">
            <v>8013600908</v>
          </cell>
          <cell r="F199" t="str">
            <v>Nguyễn Công Hoàng</v>
          </cell>
          <cell r="N199">
            <v>30571</v>
          </cell>
          <cell r="Q199" t="str">
            <v>Nam</v>
          </cell>
          <cell r="S199" t="str">
            <v>VN</v>
          </cell>
          <cell r="AL199" t="str">
            <v>Thành phố Hồ Chí Minh</v>
          </cell>
        </row>
        <row r="200">
          <cell r="C200" t="str">
            <v>8014531809</v>
          </cell>
          <cell r="F200" t="str">
            <v>Lương Thanh Nhâm</v>
          </cell>
          <cell r="N200">
            <v>30571</v>
          </cell>
          <cell r="Q200" t="str">
            <v>Nam</v>
          </cell>
          <cell r="S200" t="str">
            <v>VN</v>
          </cell>
          <cell r="AL200" t="str">
            <v>Thành phố Hà Nội</v>
          </cell>
        </row>
        <row r="201">
          <cell r="C201" t="str">
            <v>8016556492</v>
          </cell>
          <cell r="F201" t="str">
            <v>Vũ Diệp Linh</v>
          </cell>
          <cell r="N201">
            <v>30936</v>
          </cell>
          <cell r="Q201" t="str">
            <v>Nữ</v>
          </cell>
          <cell r="S201" t="str">
            <v>VN</v>
          </cell>
          <cell r="AL201" t="str">
            <v>Thành phố Hà Nội</v>
          </cell>
        </row>
        <row r="202">
          <cell r="C202" t="str">
            <v>8016583802</v>
          </cell>
          <cell r="F202" t="str">
            <v>Nguyễn Thị Hường</v>
          </cell>
          <cell r="N202">
            <v>30140</v>
          </cell>
          <cell r="Q202" t="str">
            <v>Nữ</v>
          </cell>
          <cell r="S202" t="str">
            <v>VN</v>
          </cell>
          <cell r="AL202" t="str">
            <v>Thành phố Hà Nội</v>
          </cell>
        </row>
        <row r="203">
          <cell r="C203" t="str">
            <v>8019483644</v>
          </cell>
          <cell r="F203" t="str">
            <v>Đặng Huy Tú</v>
          </cell>
          <cell r="N203">
            <v>29199</v>
          </cell>
          <cell r="Q203" t="str">
            <v>Nam</v>
          </cell>
          <cell r="S203" t="str">
            <v>VN</v>
          </cell>
          <cell r="AL203" t="str">
            <v>Thành phố Hà Nội</v>
          </cell>
        </row>
        <row r="204">
          <cell r="C204" t="str">
            <v>8019483669</v>
          </cell>
          <cell r="F204" t="str">
            <v>Hồ Chí Trung</v>
          </cell>
          <cell r="N204">
            <v>29524</v>
          </cell>
          <cell r="Q204" t="str">
            <v>Nam</v>
          </cell>
          <cell r="S204" t="str">
            <v>VN</v>
          </cell>
          <cell r="AL204" t="str">
            <v>Thành phố Hà Nội</v>
          </cell>
        </row>
        <row r="205">
          <cell r="C205" t="str">
            <v>8019483700</v>
          </cell>
          <cell r="F205" t="str">
            <v>Nguyễn Ngọc Tuấn</v>
          </cell>
          <cell r="N205">
            <v>28134</v>
          </cell>
          <cell r="Q205" t="str">
            <v>Nam</v>
          </cell>
          <cell r="S205" t="str">
            <v>VN</v>
          </cell>
          <cell r="AL205" t="str">
            <v>Thành phố Hà Nội</v>
          </cell>
        </row>
        <row r="206">
          <cell r="C206" t="str">
            <v>8019483725</v>
          </cell>
          <cell r="F206" t="str">
            <v>Lê Thanh Thủy</v>
          </cell>
          <cell r="N206">
            <v>29953</v>
          </cell>
          <cell r="Q206" t="str">
            <v>Nữ</v>
          </cell>
          <cell r="S206" t="str">
            <v>VN</v>
          </cell>
          <cell r="AL206" t="str">
            <v>Thành phố Hà Nội</v>
          </cell>
        </row>
        <row r="207">
          <cell r="C207" t="str">
            <v>8019483806</v>
          </cell>
          <cell r="F207" t="str">
            <v>Đặng Đình Toàn</v>
          </cell>
          <cell r="N207">
            <v>30059</v>
          </cell>
          <cell r="Q207" t="str">
            <v>Nam</v>
          </cell>
          <cell r="S207" t="str">
            <v>VN</v>
          </cell>
          <cell r="AL207" t="str">
            <v>Thành phố Hà Nội</v>
          </cell>
        </row>
        <row r="208">
          <cell r="C208" t="str">
            <v>8019483845</v>
          </cell>
          <cell r="F208" t="str">
            <v>Nguyễn Đức Toàn</v>
          </cell>
          <cell r="N208">
            <v>29129</v>
          </cell>
          <cell r="Q208" t="str">
            <v>Nam</v>
          </cell>
          <cell r="S208" t="str">
            <v>VN</v>
          </cell>
          <cell r="AL208" t="str">
            <v>Thành phố Hà Nội</v>
          </cell>
        </row>
        <row r="209">
          <cell r="C209" t="str">
            <v>8019483891</v>
          </cell>
          <cell r="F209" t="str">
            <v>Lê Thu An</v>
          </cell>
          <cell r="N209">
            <v>29216</v>
          </cell>
          <cell r="Q209" t="str">
            <v>Nữ</v>
          </cell>
          <cell r="S209" t="str">
            <v>VN</v>
          </cell>
          <cell r="AL209" t="str">
            <v>Thành phố Hà Nội</v>
          </cell>
        </row>
        <row r="210">
          <cell r="C210" t="str">
            <v>8019483919</v>
          </cell>
          <cell r="F210" t="str">
            <v>Nguyễn Đức Hào</v>
          </cell>
          <cell r="N210">
            <v>28364</v>
          </cell>
          <cell r="Q210" t="str">
            <v>Nam</v>
          </cell>
          <cell r="S210" t="str">
            <v>VN</v>
          </cell>
          <cell r="AL210" t="str">
            <v>Thành phố Hà Nội</v>
          </cell>
        </row>
        <row r="211">
          <cell r="C211" t="str">
            <v>8019483933</v>
          </cell>
          <cell r="F211" t="str">
            <v>Lê Thị Vân Anh</v>
          </cell>
          <cell r="N211">
            <v>31015</v>
          </cell>
          <cell r="Q211" t="str">
            <v>Nữ</v>
          </cell>
          <cell r="S211" t="str">
            <v>VN</v>
          </cell>
          <cell r="AL211" t="str">
            <v>Thành phố Hà Nội</v>
          </cell>
        </row>
        <row r="212">
          <cell r="C212" t="str">
            <v>8019483958</v>
          </cell>
          <cell r="F212" t="str">
            <v>Phan Anh Tuấn</v>
          </cell>
          <cell r="N212">
            <v>27102</v>
          </cell>
          <cell r="Q212" t="str">
            <v>Nam</v>
          </cell>
          <cell r="S212" t="str">
            <v>VN</v>
          </cell>
          <cell r="AL212" t="str">
            <v>Thành phố Hà Nội</v>
          </cell>
        </row>
        <row r="213">
          <cell r="C213" t="str">
            <v>8019483972</v>
          </cell>
          <cell r="F213" t="str">
            <v>Dư Thị Thịnh</v>
          </cell>
          <cell r="N213">
            <v>24256</v>
          </cell>
          <cell r="Q213" t="str">
            <v>Nữ</v>
          </cell>
          <cell r="S213" t="str">
            <v>VN</v>
          </cell>
          <cell r="AL213" t="str">
            <v>Thành phố Hà Nội</v>
          </cell>
        </row>
        <row r="214">
          <cell r="C214" t="str">
            <v>8019484006</v>
          </cell>
          <cell r="F214" t="str">
            <v>Lê Thị Mai</v>
          </cell>
          <cell r="N214">
            <v>27873</v>
          </cell>
          <cell r="Q214" t="str">
            <v>Nữ</v>
          </cell>
          <cell r="S214" t="str">
            <v>VN</v>
          </cell>
          <cell r="AL214" t="str">
            <v>Thành phố Hà Nội</v>
          </cell>
        </row>
        <row r="215">
          <cell r="C215" t="str">
            <v>8019484091</v>
          </cell>
          <cell r="F215" t="str">
            <v>Nguyễn Đình Thành</v>
          </cell>
          <cell r="N215">
            <v>26859</v>
          </cell>
          <cell r="Q215" t="str">
            <v>Nam</v>
          </cell>
          <cell r="S215" t="str">
            <v>VN</v>
          </cell>
          <cell r="AL215" t="str">
            <v>Thành phố Hà Nội</v>
          </cell>
        </row>
        <row r="216">
          <cell r="C216" t="str">
            <v>8019484119</v>
          </cell>
          <cell r="F216" t="str">
            <v>Vũ Tiến Hà</v>
          </cell>
          <cell r="N216">
            <v>22953</v>
          </cell>
          <cell r="Q216" t="str">
            <v>Nam</v>
          </cell>
          <cell r="S216" t="str">
            <v>VN</v>
          </cell>
          <cell r="AL216" t="str">
            <v>Thành phố Hà Nội</v>
          </cell>
        </row>
        <row r="217">
          <cell r="C217" t="str">
            <v>8019484221</v>
          </cell>
          <cell r="F217" t="str">
            <v>Đỗ Lệ Thu</v>
          </cell>
          <cell r="N217">
            <v>27463</v>
          </cell>
          <cell r="Q217" t="str">
            <v>Nữ</v>
          </cell>
          <cell r="S217" t="str">
            <v>VN</v>
          </cell>
          <cell r="AL217" t="str">
            <v>Thành phố Hà Nội</v>
          </cell>
        </row>
        <row r="218">
          <cell r="C218" t="str">
            <v>8020365638</v>
          </cell>
          <cell r="F218" t="str">
            <v>Nguyễn Thị Ngọc Hà</v>
          </cell>
          <cell r="N218">
            <v>28685</v>
          </cell>
          <cell r="Q218" t="str">
            <v>Nữ</v>
          </cell>
          <cell r="S218" t="str">
            <v>VN</v>
          </cell>
          <cell r="AL218" t="str">
            <v>Thành phố Hà Nội</v>
          </cell>
        </row>
        <row r="219">
          <cell r="C219" t="str">
            <v>8021134471</v>
          </cell>
          <cell r="F219" t="str">
            <v>Lưu Thị Thu Hà</v>
          </cell>
          <cell r="N219">
            <v>30171</v>
          </cell>
          <cell r="Q219" t="str">
            <v>Nữ</v>
          </cell>
          <cell r="S219" t="str">
            <v>VN</v>
          </cell>
          <cell r="AL219" t="str">
            <v>Thành phố Hà Nội</v>
          </cell>
        </row>
        <row r="220">
          <cell r="C220" t="str">
            <v>8022319154</v>
          </cell>
          <cell r="F220" t="str">
            <v>Nguyễn Thị Huyền Trang</v>
          </cell>
          <cell r="N220">
            <v>31007</v>
          </cell>
          <cell r="Q220" t="str">
            <v>Nữ</v>
          </cell>
          <cell r="S220" t="str">
            <v>VN</v>
          </cell>
          <cell r="AL220" t="str">
            <v>Thành phố Hà Nội</v>
          </cell>
        </row>
        <row r="221">
          <cell r="C221" t="str">
            <v>8023426550</v>
          </cell>
          <cell r="F221" t="str">
            <v>Nguyễn Thị Thúy Nga</v>
          </cell>
          <cell r="N221">
            <v>28442</v>
          </cell>
          <cell r="Q221" t="str">
            <v>Nữ</v>
          </cell>
          <cell r="S221" t="str">
            <v>VN</v>
          </cell>
          <cell r="AL221" t="str">
            <v>Thành phố Hà Nội</v>
          </cell>
        </row>
        <row r="222">
          <cell r="C222" t="str">
            <v>8024393724</v>
          </cell>
          <cell r="F222" t="str">
            <v>Lê Quý</v>
          </cell>
          <cell r="N222">
            <v>30848</v>
          </cell>
          <cell r="Q222" t="str">
            <v>Nam</v>
          </cell>
          <cell r="S222" t="str">
            <v>VN</v>
          </cell>
          <cell r="AL222" t="str">
            <v>Thành phố Hồ Chí Minh</v>
          </cell>
        </row>
        <row r="223">
          <cell r="C223" t="str">
            <v>8024394157</v>
          </cell>
          <cell r="F223" t="str">
            <v>Đỗ Hữu Triệu</v>
          </cell>
          <cell r="N223">
            <v>30296</v>
          </cell>
          <cell r="Q223" t="str">
            <v>Nam</v>
          </cell>
          <cell r="S223" t="str">
            <v>VN</v>
          </cell>
          <cell r="AL223" t="str">
            <v>Thành phố Cần Thơ</v>
          </cell>
        </row>
        <row r="224">
          <cell r="C224" t="str">
            <v>8024751232</v>
          </cell>
          <cell r="F224" t="str">
            <v>Hà Đắc Trung</v>
          </cell>
          <cell r="N224">
            <v>31728</v>
          </cell>
          <cell r="Q224" t="str">
            <v>Nam</v>
          </cell>
          <cell r="S224" t="str">
            <v>VN</v>
          </cell>
          <cell r="AL224" t="str">
            <v>Thành phố Hà Nội</v>
          </cell>
        </row>
        <row r="225">
          <cell r="C225" t="str">
            <v>8024786732</v>
          </cell>
          <cell r="F225" t="str">
            <v>Trần Anh Dũng</v>
          </cell>
          <cell r="N225">
            <v>29244</v>
          </cell>
          <cell r="Q225" t="str">
            <v>Nam</v>
          </cell>
          <cell r="S225" t="str">
            <v>VN</v>
          </cell>
          <cell r="AL225" t="str">
            <v>Thành phố Hà Nội</v>
          </cell>
        </row>
        <row r="226">
          <cell r="C226" t="str">
            <v>8024787013</v>
          </cell>
          <cell r="F226" t="str">
            <v>Nguyễn Văn Đông</v>
          </cell>
          <cell r="N226">
            <v>29436</v>
          </cell>
          <cell r="Q226" t="str">
            <v>Nam</v>
          </cell>
          <cell r="S226" t="str">
            <v>VN</v>
          </cell>
          <cell r="AL226" t="str">
            <v>Thành phố Hà Nội</v>
          </cell>
        </row>
        <row r="227">
          <cell r="C227" t="str">
            <v>8024812012</v>
          </cell>
          <cell r="F227" t="str">
            <v>Chu Thị Phương Anh</v>
          </cell>
          <cell r="N227">
            <v>29838</v>
          </cell>
          <cell r="Q227" t="str">
            <v>Nữ</v>
          </cell>
          <cell r="S227" t="str">
            <v>VN</v>
          </cell>
          <cell r="AL227" t="str">
            <v>Thành phố Hà Nội</v>
          </cell>
        </row>
        <row r="228">
          <cell r="C228" t="str">
            <v>8024918770</v>
          </cell>
          <cell r="F228" t="str">
            <v>Nguyễn Thị Lan Hương</v>
          </cell>
          <cell r="N228">
            <v>29625</v>
          </cell>
          <cell r="Q228" t="str">
            <v>Nữ</v>
          </cell>
          <cell r="S228" t="str">
            <v>VN</v>
          </cell>
          <cell r="AL228" t="str">
            <v>Thành phố Hà Nội</v>
          </cell>
        </row>
        <row r="229">
          <cell r="C229" t="str">
            <v>8026347064</v>
          </cell>
          <cell r="F229" t="str">
            <v>Ngô Thị Tuyết Nhung</v>
          </cell>
          <cell r="N229">
            <v>28983</v>
          </cell>
          <cell r="Q229" t="str">
            <v>Nữ</v>
          </cell>
          <cell r="S229" t="str">
            <v>VN</v>
          </cell>
          <cell r="AL229" t="str">
            <v>Thành phố Hà Nội</v>
          </cell>
        </row>
        <row r="230">
          <cell r="C230" t="str">
            <v>8029545579</v>
          </cell>
          <cell r="F230" t="str">
            <v>Trần Nguyễn Hoàng Ly</v>
          </cell>
          <cell r="N230">
            <v>32170</v>
          </cell>
          <cell r="Q230" t="str">
            <v>Nữ</v>
          </cell>
          <cell r="S230" t="str">
            <v>VN</v>
          </cell>
          <cell r="AL230" t="str">
            <v>Thành phố Hồ Chí Minh</v>
          </cell>
        </row>
        <row r="231">
          <cell r="C231" t="str">
            <v>8030990694</v>
          </cell>
          <cell r="F231" t="str">
            <v>Nguyễn Minh Tú</v>
          </cell>
          <cell r="N231">
            <v>27497</v>
          </cell>
          <cell r="Q231" t="str">
            <v>Nam</v>
          </cell>
          <cell r="S231" t="str">
            <v>VN</v>
          </cell>
          <cell r="AL231" t="str">
            <v>Thành phố Hà Nội</v>
          </cell>
        </row>
        <row r="232">
          <cell r="C232" t="str">
            <v>8031266886</v>
          </cell>
          <cell r="F232" t="str">
            <v>Đinh Ngọc Hùng</v>
          </cell>
          <cell r="N232">
            <v>24057</v>
          </cell>
          <cell r="Q232" t="str">
            <v>Nam</v>
          </cell>
          <cell r="S232" t="str">
            <v>VN</v>
          </cell>
          <cell r="AL232" t="str">
            <v>Thành phố Hà Nội</v>
          </cell>
        </row>
        <row r="233">
          <cell r="C233" t="str">
            <v>8032359614</v>
          </cell>
          <cell r="F233" t="str">
            <v>Nguyễn Phúc Nguyên</v>
          </cell>
          <cell r="N233">
            <v>29694</v>
          </cell>
          <cell r="Q233" t="str">
            <v>Nam</v>
          </cell>
          <cell r="S233" t="str">
            <v>VN</v>
          </cell>
          <cell r="AL233" t="str">
            <v>Thành phố Hồ Chí Minh</v>
          </cell>
        </row>
        <row r="234">
          <cell r="C234" t="str">
            <v>8033040316</v>
          </cell>
          <cell r="F234" t="str">
            <v>Phạm Thu Hà</v>
          </cell>
          <cell r="N234">
            <v>29851</v>
          </cell>
          <cell r="Q234" t="str">
            <v>Nữ</v>
          </cell>
          <cell r="S234" t="str">
            <v>VN</v>
          </cell>
          <cell r="AL234" t="str">
            <v>Thành phố Hà Nội</v>
          </cell>
        </row>
        <row r="235">
          <cell r="C235" t="str">
            <v>8038988707</v>
          </cell>
          <cell r="F235" t="str">
            <v>Nguyễn Thị Kim Anh</v>
          </cell>
          <cell r="N235">
            <v>30365</v>
          </cell>
          <cell r="Q235" t="str">
            <v>Nữ</v>
          </cell>
          <cell r="S235" t="str">
            <v>VN</v>
          </cell>
          <cell r="AL235" t="str">
            <v>Thành phố Hà Nội</v>
          </cell>
        </row>
        <row r="236">
          <cell r="C236" t="str">
            <v>8038988714</v>
          </cell>
          <cell r="F236" t="str">
            <v>Trần Thanh Minh</v>
          </cell>
          <cell r="N236">
            <v>31636</v>
          </cell>
          <cell r="Q236" t="str">
            <v>Nữ</v>
          </cell>
          <cell r="S236" t="str">
            <v>VN</v>
          </cell>
          <cell r="AL236" t="str">
            <v>Thành phố Hà Nội</v>
          </cell>
        </row>
        <row r="237">
          <cell r="C237" t="str">
            <v>8040992891</v>
          </cell>
          <cell r="F237" t="str">
            <v>Hoàng Nam Khánh</v>
          </cell>
          <cell r="N237">
            <v>30375</v>
          </cell>
          <cell r="Q237" t="str">
            <v>Nam</v>
          </cell>
          <cell r="S237" t="str">
            <v>VN</v>
          </cell>
          <cell r="AL237" t="str">
            <v>Thành phố Đà Nẵng</v>
          </cell>
        </row>
        <row r="238">
          <cell r="C238" t="str">
            <v>8043114415</v>
          </cell>
          <cell r="F238" t="str">
            <v>Trần Thị Thu Hà</v>
          </cell>
          <cell r="N238">
            <v>29418</v>
          </cell>
          <cell r="Q238" t="str">
            <v>Nữ</v>
          </cell>
          <cell r="S238" t="str">
            <v>VN</v>
          </cell>
          <cell r="AL238" t="str">
            <v>Thành phố Hà Nội</v>
          </cell>
        </row>
        <row r="239">
          <cell r="C239" t="str">
            <v>8044333554</v>
          </cell>
          <cell r="F239" t="str">
            <v>Ngô Minh Chiến</v>
          </cell>
          <cell r="N239">
            <v>25937</v>
          </cell>
          <cell r="Q239" t="str">
            <v>Nam</v>
          </cell>
          <cell r="S239" t="str">
            <v>VN</v>
          </cell>
          <cell r="AL239" t="str">
            <v>Thành phố Hà Nội</v>
          </cell>
        </row>
        <row r="240">
          <cell r="C240" t="str">
            <v>8049164067</v>
          </cell>
          <cell r="F240" t="str">
            <v>Phạm Huỳnh Thanh Long</v>
          </cell>
          <cell r="N240">
            <v>31688</v>
          </cell>
          <cell r="Q240" t="str">
            <v>Nam</v>
          </cell>
          <cell r="S240" t="str">
            <v>VN</v>
          </cell>
          <cell r="AL240" t="str">
            <v>Thành phố Đà Nẵng</v>
          </cell>
        </row>
        <row r="241">
          <cell r="C241" t="str">
            <v>8049956337</v>
          </cell>
          <cell r="F241" t="str">
            <v>Đặng Thụy Hồng Ngọc</v>
          </cell>
          <cell r="N241">
            <v>32510</v>
          </cell>
          <cell r="Q241" t="str">
            <v>Nữ</v>
          </cell>
          <cell r="S241" t="str">
            <v>VN</v>
          </cell>
          <cell r="AL241" t="str">
            <v>Thành phố Hồ Chí Minh</v>
          </cell>
        </row>
        <row r="242">
          <cell r="C242" t="str">
            <v>8051476049</v>
          </cell>
          <cell r="F242" t="str">
            <v>Võ Thành Công</v>
          </cell>
          <cell r="N242">
            <v>31299</v>
          </cell>
          <cell r="Q242" t="str">
            <v>Nam</v>
          </cell>
          <cell r="S242" t="str">
            <v>VN</v>
          </cell>
          <cell r="AL242" t="str">
            <v>Thành phố Hồ Chí Minh</v>
          </cell>
        </row>
        <row r="243">
          <cell r="C243" t="str">
            <v>8054901005</v>
          </cell>
          <cell r="F243" t="str">
            <v>Nguyễn Phạm Minh Nguyệt</v>
          </cell>
          <cell r="N243">
            <v>30978</v>
          </cell>
          <cell r="Q243" t="str">
            <v>Nữ</v>
          </cell>
          <cell r="S243" t="str">
            <v>VN</v>
          </cell>
          <cell r="AL243" t="str">
            <v>Thành phố Hồ Chí Minh</v>
          </cell>
        </row>
        <row r="244">
          <cell r="C244" t="str">
            <v>8055049055</v>
          </cell>
          <cell r="F244" t="str">
            <v>Dương Phạm Quốc Hải</v>
          </cell>
          <cell r="N244">
            <v>31747</v>
          </cell>
          <cell r="Q244" t="str">
            <v>Nam</v>
          </cell>
          <cell r="S244" t="str">
            <v>VN</v>
          </cell>
          <cell r="AL244" t="str">
            <v>Thành phố Hồ Chí Minh</v>
          </cell>
        </row>
        <row r="245">
          <cell r="C245" t="str">
            <v>8056204296</v>
          </cell>
          <cell r="F245" t="str">
            <v>Nguyễn Thị Mỹ Hạnh</v>
          </cell>
          <cell r="N245">
            <v>28293</v>
          </cell>
          <cell r="Q245" t="str">
            <v>Nữ</v>
          </cell>
          <cell r="S245" t="str">
            <v>VN</v>
          </cell>
          <cell r="AL245" t="str">
            <v>Thành phố Hà Nội</v>
          </cell>
        </row>
        <row r="246">
          <cell r="C246" t="str">
            <v>8056513216</v>
          </cell>
          <cell r="F246" t="str">
            <v>Lê Thị Hằng</v>
          </cell>
          <cell r="N246">
            <v>30569</v>
          </cell>
          <cell r="Q246" t="str">
            <v>Nữ</v>
          </cell>
          <cell r="S246" t="str">
            <v>VN</v>
          </cell>
          <cell r="AL246" t="str">
            <v>Thành phố Hà Nội</v>
          </cell>
        </row>
        <row r="247">
          <cell r="C247" t="str">
            <v>8056977835</v>
          </cell>
          <cell r="F247" t="str">
            <v>Nguyễn Chí Thành</v>
          </cell>
          <cell r="N247">
            <v>27208</v>
          </cell>
          <cell r="Q247" t="str">
            <v>Nam</v>
          </cell>
          <cell r="S247" t="str">
            <v>VN</v>
          </cell>
          <cell r="AL247" t="str">
            <v>Thành phố Hồ Chí Minh</v>
          </cell>
        </row>
        <row r="248">
          <cell r="C248" t="str">
            <v>8057675587</v>
          </cell>
          <cell r="F248" t="str">
            <v>Nguyễn Mạnh Hùng</v>
          </cell>
          <cell r="N248">
            <v>31585</v>
          </cell>
          <cell r="Q248" t="str">
            <v>Nam</v>
          </cell>
          <cell r="S248" t="str">
            <v>VN</v>
          </cell>
          <cell r="AL248" t="str">
            <v>Thành phố Hà Nội</v>
          </cell>
        </row>
        <row r="249">
          <cell r="C249" t="str">
            <v>8059070019</v>
          </cell>
          <cell r="F249" t="str">
            <v>Vũ Thu Trang</v>
          </cell>
          <cell r="N249">
            <v>28085</v>
          </cell>
          <cell r="Q249" t="str">
            <v>Nữ</v>
          </cell>
          <cell r="S249" t="str">
            <v>VN</v>
          </cell>
          <cell r="AL249" t="str">
            <v>Thành phố Hà Nội</v>
          </cell>
        </row>
        <row r="250">
          <cell r="C250" t="str">
            <v>8060705697</v>
          </cell>
          <cell r="F250" t="str">
            <v>Kiều Văn Hưng</v>
          </cell>
          <cell r="N250">
            <v>31754</v>
          </cell>
          <cell r="Q250" t="str">
            <v>Nam</v>
          </cell>
          <cell r="S250" t="str">
            <v>VN</v>
          </cell>
          <cell r="AL250" t="str">
            <v>Thành phố Hà Nội</v>
          </cell>
        </row>
        <row r="251">
          <cell r="C251" t="str">
            <v>8060705739</v>
          </cell>
          <cell r="F251" t="str">
            <v>Bùi Quý Nam</v>
          </cell>
          <cell r="N251">
            <v>31639</v>
          </cell>
          <cell r="Q251" t="str">
            <v>Nam</v>
          </cell>
          <cell r="S251" t="str">
            <v>VN</v>
          </cell>
          <cell r="AL251" t="str">
            <v>Thành phố Hà Nội</v>
          </cell>
        </row>
        <row r="252">
          <cell r="C252" t="str">
            <v>8060983020</v>
          </cell>
          <cell r="F252" t="str">
            <v>Nguyễn Bá Bảy</v>
          </cell>
          <cell r="N252">
            <v>31923</v>
          </cell>
          <cell r="Q252" t="str">
            <v>Nam</v>
          </cell>
          <cell r="S252" t="str">
            <v>VN</v>
          </cell>
          <cell r="AL252" t="str">
            <v>Thành phố Hà Nội</v>
          </cell>
        </row>
        <row r="253">
          <cell r="C253" t="str">
            <v>8061344193</v>
          </cell>
          <cell r="F253" t="str">
            <v>Đào Thị Kim Oanh</v>
          </cell>
          <cell r="N253">
            <v>28856</v>
          </cell>
          <cell r="Q253" t="str">
            <v>Nữ</v>
          </cell>
          <cell r="S253" t="str">
            <v>VN</v>
          </cell>
          <cell r="AL253" t="str">
            <v>Thành phố Hà Nội</v>
          </cell>
        </row>
        <row r="254">
          <cell r="C254" t="str">
            <v>8063734495</v>
          </cell>
          <cell r="F254" t="str">
            <v>Võ Quang Nhật</v>
          </cell>
          <cell r="N254">
            <v>30839</v>
          </cell>
          <cell r="Q254" t="str">
            <v>Nam</v>
          </cell>
          <cell r="S254" t="str">
            <v>VN</v>
          </cell>
          <cell r="AL254" t="str">
            <v>Thành phố Đà Nẵng</v>
          </cell>
        </row>
        <row r="255">
          <cell r="C255" t="str">
            <v>8063999131</v>
          </cell>
          <cell r="F255" t="str">
            <v>Trần Lưu Hoàng</v>
          </cell>
          <cell r="N255">
            <v>27720</v>
          </cell>
          <cell r="Q255" t="str">
            <v>Nam</v>
          </cell>
          <cell r="S255" t="str">
            <v>VN</v>
          </cell>
          <cell r="AL255" t="str">
            <v>Thành phố Hồ Chí Minh</v>
          </cell>
        </row>
        <row r="256">
          <cell r="C256" t="str">
            <v>8064017437</v>
          </cell>
          <cell r="F256" t="str">
            <v>Nguyễn Tiến Duẫn</v>
          </cell>
          <cell r="N256">
            <v>33474</v>
          </cell>
          <cell r="Q256" t="str">
            <v>Nam</v>
          </cell>
          <cell r="S256" t="str">
            <v>VN</v>
          </cell>
          <cell r="AL256" t="str">
            <v>Thành phố Hồ Chí Minh</v>
          </cell>
        </row>
        <row r="257">
          <cell r="C257" t="str">
            <v>8066149439</v>
          </cell>
          <cell r="F257" t="str">
            <v>Đỗ Việt Tú</v>
          </cell>
          <cell r="N257">
            <v>32432</v>
          </cell>
          <cell r="Q257" t="str">
            <v>Nam</v>
          </cell>
          <cell r="S257" t="str">
            <v>VN</v>
          </cell>
          <cell r="AL257" t="str">
            <v>Thành phố Đà Nẵng</v>
          </cell>
        </row>
        <row r="258">
          <cell r="C258" t="str">
            <v>8066238505</v>
          </cell>
          <cell r="F258" t="str">
            <v>Bạch Trường Lâm</v>
          </cell>
          <cell r="N258">
            <v>30478</v>
          </cell>
          <cell r="Q258" t="str">
            <v>Nam</v>
          </cell>
          <cell r="S258" t="str">
            <v>VN</v>
          </cell>
          <cell r="AL258" t="str">
            <v>Thành phố Hồ Chí Minh</v>
          </cell>
        </row>
        <row r="259">
          <cell r="C259" t="str">
            <v>8068891276</v>
          </cell>
          <cell r="F259" t="str">
            <v>Nguyễn Trung Kiên</v>
          </cell>
          <cell r="N259">
            <v>30936</v>
          </cell>
          <cell r="Q259" t="str">
            <v>Nam</v>
          </cell>
          <cell r="S259" t="str">
            <v>VN</v>
          </cell>
          <cell r="AL259" t="str">
            <v>Thành phố Hà Nội</v>
          </cell>
        </row>
        <row r="260">
          <cell r="C260" t="str">
            <v>8069738908</v>
          </cell>
          <cell r="F260" t="str">
            <v>Trần Thị Lan Hương</v>
          </cell>
          <cell r="N260">
            <v>31928</v>
          </cell>
          <cell r="Q260" t="str">
            <v>Nữ</v>
          </cell>
          <cell r="S260" t="str">
            <v>VN</v>
          </cell>
          <cell r="AL260" t="str">
            <v>Thành phố Hà Nội</v>
          </cell>
        </row>
        <row r="261">
          <cell r="C261" t="str">
            <v>8070537297</v>
          </cell>
          <cell r="F261" t="str">
            <v>Nguyễn Lê Phi</v>
          </cell>
          <cell r="N261">
            <v>31095</v>
          </cell>
          <cell r="Q261" t="str">
            <v>Nữ</v>
          </cell>
          <cell r="S261" t="str">
            <v>VN</v>
          </cell>
          <cell r="AL261" t="str">
            <v>Thành phố Hồ Chí Minh</v>
          </cell>
        </row>
        <row r="262">
          <cell r="C262" t="str">
            <v>8075085333</v>
          </cell>
          <cell r="F262" t="str">
            <v>Trần Hoàng Phi</v>
          </cell>
          <cell r="N262">
            <v>30207</v>
          </cell>
          <cell r="Q262" t="str">
            <v>Nữ</v>
          </cell>
          <cell r="S262" t="str">
            <v>VN</v>
          </cell>
          <cell r="AL262" t="str">
            <v>Thành phố Hồ Chí Minh</v>
          </cell>
        </row>
        <row r="263">
          <cell r="C263" t="str">
            <v>8075493903</v>
          </cell>
          <cell r="F263" t="str">
            <v>Nguyễn Hồng Phong</v>
          </cell>
          <cell r="N263">
            <v>27615</v>
          </cell>
          <cell r="Q263" t="str">
            <v>Nam</v>
          </cell>
          <cell r="S263" t="str">
            <v>VN</v>
          </cell>
          <cell r="AL263" t="str">
            <v>Thành phố Hà Nội</v>
          </cell>
        </row>
        <row r="264">
          <cell r="C264" t="str">
            <v>8075493928</v>
          </cell>
          <cell r="F264" t="str">
            <v>Đào Thị Thanh Hải</v>
          </cell>
          <cell r="N264">
            <v>29461</v>
          </cell>
          <cell r="Q264" t="str">
            <v>Nữ</v>
          </cell>
          <cell r="S264" t="str">
            <v>VN</v>
          </cell>
          <cell r="AL264" t="str">
            <v>Thành phố Hà Nội</v>
          </cell>
        </row>
        <row r="265">
          <cell r="C265" t="str">
            <v>8075493942</v>
          </cell>
          <cell r="F265" t="str">
            <v>Nguyễn Thị Hồng Thu</v>
          </cell>
          <cell r="N265">
            <v>29615</v>
          </cell>
          <cell r="Q265" t="str">
            <v>Nữ</v>
          </cell>
          <cell r="S265" t="str">
            <v>VN</v>
          </cell>
          <cell r="AL265" t="str">
            <v>Thành phố Hà Nội</v>
          </cell>
        </row>
        <row r="266">
          <cell r="C266" t="str">
            <v>8075493999</v>
          </cell>
          <cell r="F266" t="str">
            <v>Nguyễn Thị Bích Tuyết</v>
          </cell>
          <cell r="N266">
            <v>25545</v>
          </cell>
          <cell r="Q266" t="str">
            <v>Nữ</v>
          </cell>
          <cell r="S266" t="str">
            <v>VN</v>
          </cell>
          <cell r="AL266" t="str">
            <v>Thành phố Hà Nội</v>
          </cell>
        </row>
        <row r="267">
          <cell r="C267" t="str">
            <v>8075494015</v>
          </cell>
          <cell r="F267" t="str">
            <v>Bùi Thị Lan</v>
          </cell>
          <cell r="N267">
            <v>28615</v>
          </cell>
          <cell r="Q267" t="str">
            <v>Nữ</v>
          </cell>
          <cell r="S267" t="str">
            <v>VN</v>
          </cell>
          <cell r="AL267" t="str">
            <v>Thành phố Hà Nội</v>
          </cell>
        </row>
        <row r="268">
          <cell r="C268" t="str">
            <v>8077353186</v>
          </cell>
          <cell r="F268" t="str">
            <v>Đỗ Thị Phương Thu</v>
          </cell>
          <cell r="N268">
            <v>29613</v>
          </cell>
          <cell r="Q268" t="str">
            <v>Nữ</v>
          </cell>
          <cell r="S268" t="str">
            <v>VN</v>
          </cell>
          <cell r="AL268" t="str">
            <v>Thành phố Hà Nội</v>
          </cell>
        </row>
        <row r="269">
          <cell r="C269" t="str">
            <v>8077995257</v>
          </cell>
          <cell r="F269" t="str">
            <v>Nguyễn Thị Thu Trang</v>
          </cell>
          <cell r="N269">
            <v>29728</v>
          </cell>
          <cell r="Q269" t="str">
            <v>Nữ</v>
          </cell>
          <cell r="S269" t="str">
            <v>VN</v>
          </cell>
          <cell r="AL269" t="str">
            <v>Thành phố Hà Nội</v>
          </cell>
        </row>
        <row r="270">
          <cell r="C270" t="str">
            <v>8078799897</v>
          </cell>
          <cell r="F270" t="str">
            <v>Đặng Lê Cường</v>
          </cell>
          <cell r="N270">
            <v>30513</v>
          </cell>
          <cell r="Q270" t="str">
            <v>Nam</v>
          </cell>
          <cell r="S270" t="str">
            <v>VN</v>
          </cell>
          <cell r="AL270" t="str">
            <v>Thành phố Hồ Chí Minh</v>
          </cell>
        </row>
        <row r="271">
          <cell r="C271" t="str">
            <v>8079668939</v>
          </cell>
          <cell r="F271" t="str">
            <v>Nguyễn Thị Phương Đoài</v>
          </cell>
          <cell r="N271">
            <v>29447</v>
          </cell>
          <cell r="Q271" t="str">
            <v>Nữ</v>
          </cell>
          <cell r="S271" t="str">
            <v>VN</v>
          </cell>
          <cell r="AL271" t="str">
            <v>Thành phố Hồ Chí Minh</v>
          </cell>
        </row>
        <row r="272">
          <cell r="C272" t="str">
            <v>8079881858</v>
          </cell>
          <cell r="F272" t="str">
            <v>Hứa Thị Yến</v>
          </cell>
          <cell r="N272">
            <v>32006</v>
          </cell>
          <cell r="Q272" t="str">
            <v>Nữ</v>
          </cell>
          <cell r="S272" t="str">
            <v>VN</v>
          </cell>
          <cell r="AL272" t="str">
            <v>Thành phố Hà Nội</v>
          </cell>
        </row>
        <row r="273">
          <cell r="C273" t="str">
            <v>8081102428</v>
          </cell>
          <cell r="F273" t="str">
            <v>Vũ Trung Thành</v>
          </cell>
          <cell r="N273">
            <v>31463</v>
          </cell>
          <cell r="Q273" t="str">
            <v>Nam</v>
          </cell>
          <cell r="S273" t="str">
            <v>VN</v>
          </cell>
          <cell r="AL273" t="str">
            <v>Thành phố Hà Nội</v>
          </cell>
        </row>
        <row r="274">
          <cell r="C274" t="str">
            <v>8083623271</v>
          </cell>
          <cell r="F274" t="str">
            <v>Nguyễn Việt Anh</v>
          </cell>
          <cell r="N274">
            <v>32263</v>
          </cell>
          <cell r="Q274" t="str">
            <v>Nam</v>
          </cell>
          <cell r="S274" t="str">
            <v>VN</v>
          </cell>
          <cell r="AL274" t="str">
            <v>Thành phố Hà Nội</v>
          </cell>
        </row>
        <row r="275">
          <cell r="C275" t="str">
            <v>8083852345</v>
          </cell>
          <cell r="F275" t="str">
            <v>Dư Thị Thanh Huệ</v>
          </cell>
          <cell r="N275">
            <v>31117</v>
          </cell>
          <cell r="Q275" t="str">
            <v>Nữ</v>
          </cell>
          <cell r="S275" t="str">
            <v>VN</v>
          </cell>
          <cell r="AL275" t="str">
            <v>Thành phố Hà Nội</v>
          </cell>
        </row>
        <row r="276">
          <cell r="C276" t="str">
            <v>8083958479</v>
          </cell>
          <cell r="F276" t="str">
            <v>Vũ Giang Nam</v>
          </cell>
          <cell r="N276">
            <v>29262</v>
          </cell>
          <cell r="Q276" t="str">
            <v>Nam</v>
          </cell>
          <cell r="S276" t="str">
            <v>VN</v>
          </cell>
          <cell r="AL276" t="str">
            <v>Thành phố Hà Nội</v>
          </cell>
        </row>
        <row r="277">
          <cell r="C277" t="str">
            <v>8085293283</v>
          </cell>
          <cell r="F277" t="str">
            <v>Nguyễn Văn Tuấn</v>
          </cell>
          <cell r="N277">
            <v>32812</v>
          </cell>
          <cell r="Q277" t="str">
            <v>Nam</v>
          </cell>
          <cell r="S277" t="str">
            <v>VN</v>
          </cell>
          <cell r="AL277" t="str">
            <v>Thành phố Hà Nội</v>
          </cell>
        </row>
        <row r="278">
          <cell r="C278" t="str">
            <v>8085293389</v>
          </cell>
          <cell r="F278" t="str">
            <v>Trần Thị Thùy Dương</v>
          </cell>
          <cell r="N278">
            <v>32479</v>
          </cell>
          <cell r="Q278" t="str">
            <v>Nữ</v>
          </cell>
          <cell r="S278" t="str">
            <v>VN</v>
          </cell>
          <cell r="AL278" t="str">
            <v>Thành phố Hà Nội</v>
          </cell>
        </row>
        <row r="279">
          <cell r="C279" t="str">
            <v>8091048071</v>
          </cell>
          <cell r="F279" t="str">
            <v>Nghiêm Quốc Tiến</v>
          </cell>
          <cell r="N279">
            <v>31278</v>
          </cell>
          <cell r="Q279" t="str">
            <v>Nam</v>
          </cell>
          <cell r="S279" t="str">
            <v>VN</v>
          </cell>
          <cell r="AL279" t="str">
            <v>Thành phố Hà Nội</v>
          </cell>
        </row>
        <row r="280">
          <cell r="C280" t="str">
            <v>8091048113</v>
          </cell>
          <cell r="F280" t="str">
            <v>Nguyễn Trí Tuấn</v>
          </cell>
          <cell r="N280">
            <v>32045</v>
          </cell>
          <cell r="Q280" t="str">
            <v>Nam</v>
          </cell>
          <cell r="S280" t="str">
            <v>VN</v>
          </cell>
          <cell r="AL280" t="str">
            <v>Thành phố Hà Nội</v>
          </cell>
        </row>
        <row r="281">
          <cell r="C281" t="str">
            <v>8091048120</v>
          </cell>
          <cell r="F281" t="str">
            <v>Nguyễn Thị Yến</v>
          </cell>
          <cell r="N281">
            <v>32876</v>
          </cell>
          <cell r="Q281" t="str">
            <v>Nữ</v>
          </cell>
          <cell r="S281" t="str">
            <v>VN</v>
          </cell>
          <cell r="AL281" t="str">
            <v>Thành phố Hà Nội</v>
          </cell>
        </row>
        <row r="282">
          <cell r="C282" t="str">
            <v>8091048145</v>
          </cell>
          <cell r="F282" t="str">
            <v>Chu Út Thậm</v>
          </cell>
          <cell r="N282">
            <v>31601</v>
          </cell>
          <cell r="Q282" t="str">
            <v>Nam</v>
          </cell>
          <cell r="S282" t="str">
            <v>VN</v>
          </cell>
          <cell r="AL282" t="str">
            <v>Thành phố Hà Nội</v>
          </cell>
        </row>
        <row r="283">
          <cell r="C283" t="str">
            <v>8091594592</v>
          </cell>
          <cell r="F283" t="str">
            <v>Đào Thị Bình</v>
          </cell>
          <cell r="N283">
            <v>30477</v>
          </cell>
          <cell r="Q283" t="str">
            <v>Nữ</v>
          </cell>
          <cell r="S283" t="str">
            <v>VN</v>
          </cell>
          <cell r="AL283" t="str">
            <v>Thành phố Hà Nội</v>
          </cell>
        </row>
        <row r="284">
          <cell r="C284" t="str">
            <v>8092715793</v>
          </cell>
          <cell r="F284" t="str">
            <v>Nguyễn Thụy Hai</v>
          </cell>
          <cell r="N284">
            <v>31749</v>
          </cell>
          <cell r="Q284" t="str">
            <v>Nam</v>
          </cell>
          <cell r="S284" t="str">
            <v>VN</v>
          </cell>
          <cell r="AL284" t="str">
            <v>Thành phố Hồ Chí Minh</v>
          </cell>
        </row>
        <row r="285">
          <cell r="C285" t="str">
            <v>8092786924</v>
          </cell>
          <cell r="F285" t="str">
            <v>Kiều Thông</v>
          </cell>
          <cell r="N285">
            <v>21780</v>
          </cell>
          <cell r="Q285" t="str">
            <v>Nam</v>
          </cell>
          <cell r="S285" t="str">
            <v>VN</v>
          </cell>
          <cell r="AL285" t="str">
            <v>Thành phố Hà Nội</v>
          </cell>
        </row>
        <row r="286">
          <cell r="C286" t="str">
            <v>8093600474</v>
          </cell>
          <cell r="F286" t="str">
            <v>Vũ Thị Huệ</v>
          </cell>
          <cell r="N286">
            <v>31998</v>
          </cell>
          <cell r="Q286" t="str">
            <v>Nữ</v>
          </cell>
          <cell r="S286" t="str">
            <v>VN</v>
          </cell>
          <cell r="AL286" t="str">
            <v>Thành phố Hà Nội</v>
          </cell>
        </row>
        <row r="287">
          <cell r="C287" t="str">
            <v>8093602979</v>
          </cell>
          <cell r="F287" t="str">
            <v>Phan Thị Thảo</v>
          </cell>
          <cell r="N287">
            <v>31826</v>
          </cell>
          <cell r="Q287" t="str">
            <v>Nữ</v>
          </cell>
          <cell r="S287" t="str">
            <v>VN</v>
          </cell>
          <cell r="AL287" t="str">
            <v>Thành phố Hà Nội</v>
          </cell>
        </row>
        <row r="288">
          <cell r="C288" t="str">
            <v>8093852760</v>
          </cell>
          <cell r="F288" t="str">
            <v>Trịnh Thị Trang</v>
          </cell>
          <cell r="N288">
            <v>33751</v>
          </cell>
          <cell r="Q288" t="str">
            <v>Nữ</v>
          </cell>
          <cell r="S288" t="str">
            <v>VN</v>
          </cell>
          <cell r="AL288" t="str">
            <v>Thành phố Hà Nội</v>
          </cell>
        </row>
        <row r="289">
          <cell r="C289" t="str">
            <v>8094914748</v>
          </cell>
          <cell r="F289" t="str">
            <v>Lê Xuân Trường</v>
          </cell>
          <cell r="N289">
            <v>32049</v>
          </cell>
          <cell r="Q289" t="str">
            <v>Nam</v>
          </cell>
          <cell r="S289" t="str">
            <v>VN</v>
          </cell>
          <cell r="AL289" t="str">
            <v>Thành phố Hồ Chí Minh</v>
          </cell>
        </row>
        <row r="290">
          <cell r="C290" t="str">
            <v>8097431837</v>
          </cell>
          <cell r="F290" t="str">
            <v>Nguyễn Thùy Linh</v>
          </cell>
          <cell r="N290">
            <v>31458</v>
          </cell>
          <cell r="Q290" t="str">
            <v>Nữ</v>
          </cell>
          <cell r="S290" t="str">
            <v>VN</v>
          </cell>
          <cell r="AL290" t="str">
            <v>Thành phố Hà Nội</v>
          </cell>
        </row>
        <row r="291">
          <cell r="C291" t="str">
            <v>8097703456</v>
          </cell>
          <cell r="F291" t="str">
            <v>Lê Đình Thắng</v>
          </cell>
          <cell r="N291">
            <v>32735</v>
          </cell>
          <cell r="Q291" t="str">
            <v>Nam</v>
          </cell>
          <cell r="S291" t="str">
            <v>VN</v>
          </cell>
          <cell r="AL291" t="str">
            <v>Tỉnh Thanh Hóa</v>
          </cell>
        </row>
        <row r="292">
          <cell r="C292" t="str">
            <v>8098413358</v>
          </cell>
          <cell r="F292" t="str">
            <v>Cù Thu Yến</v>
          </cell>
          <cell r="N292">
            <v>32169</v>
          </cell>
          <cell r="Q292" t="str">
            <v>Nữ</v>
          </cell>
          <cell r="S292" t="str">
            <v>VN</v>
          </cell>
          <cell r="AL292" t="str">
            <v>Thành phố Hà Nội</v>
          </cell>
        </row>
        <row r="293">
          <cell r="C293" t="str">
            <v>8098922813</v>
          </cell>
          <cell r="F293" t="str">
            <v>Phạm Trung Kiên</v>
          </cell>
          <cell r="N293">
            <v>33013</v>
          </cell>
          <cell r="Q293" t="str">
            <v>Nam</v>
          </cell>
          <cell r="S293" t="str">
            <v>VN</v>
          </cell>
          <cell r="AL293" t="str">
            <v>Thành phố Hà Nội</v>
          </cell>
        </row>
        <row r="294">
          <cell r="C294" t="str">
            <v>8099254206</v>
          </cell>
          <cell r="F294" t="str">
            <v>Nguyễn Thu Hương</v>
          </cell>
          <cell r="N294">
            <v>33061</v>
          </cell>
          <cell r="Q294" t="str">
            <v>Nữ</v>
          </cell>
          <cell r="S294" t="str">
            <v>VN</v>
          </cell>
          <cell r="AL294" t="str">
            <v>Thành phố Hà Nội</v>
          </cell>
        </row>
        <row r="295">
          <cell r="C295" t="str">
            <v>8099567505</v>
          </cell>
          <cell r="F295" t="str">
            <v>Uông Nhật Minh</v>
          </cell>
          <cell r="N295">
            <v>30866</v>
          </cell>
          <cell r="Q295" t="str">
            <v>Nam</v>
          </cell>
          <cell r="S295" t="str">
            <v>VN</v>
          </cell>
          <cell r="AL295" t="str">
            <v>Thành phố Hà Nội</v>
          </cell>
        </row>
        <row r="296">
          <cell r="C296" t="str">
            <v>8100332042</v>
          </cell>
          <cell r="F296" t="str">
            <v>Bùi Quang Dũng</v>
          </cell>
          <cell r="N296">
            <v>29332</v>
          </cell>
          <cell r="Q296" t="str">
            <v>Nam</v>
          </cell>
          <cell r="S296" t="str">
            <v>VN</v>
          </cell>
          <cell r="AL296" t="str">
            <v>Thành phố Hà Nội</v>
          </cell>
        </row>
        <row r="297">
          <cell r="C297" t="str">
            <v>8104122279</v>
          </cell>
          <cell r="F297" t="str">
            <v>Luyện Ngọc Minh</v>
          </cell>
          <cell r="N297">
            <v>28177</v>
          </cell>
          <cell r="Q297" t="str">
            <v>Nam</v>
          </cell>
          <cell r="S297" t="str">
            <v>VN</v>
          </cell>
          <cell r="AL297" t="str">
            <v>Thành phố Hà Nội</v>
          </cell>
        </row>
        <row r="298">
          <cell r="C298" t="str">
            <v>8104568296</v>
          </cell>
          <cell r="F298" t="str">
            <v>Nguyễn Thanh Thiện</v>
          </cell>
          <cell r="N298">
            <v>26698</v>
          </cell>
          <cell r="Q298" t="str">
            <v>Nam</v>
          </cell>
          <cell r="S298" t="str">
            <v>VN</v>
          </cell>
          <cell r="AL298" t="str">
            <v>Thành phố Hồ Chí Minh</v>
          </cell>
        </row>
        <row r="299">
          <cell r="C299" t="str">
            <v>8104568306</v>
          </cell>
          <cell r="F299" t="str">
            <v>Vũ Sơn Phong</v>
          </cell>
          <cell r="N299">
            <v>30370</v>
          </cell>
          <cell r="Q299" t="str">
            <v>Nam</v>
          </cell>
          <cell r="S299" t="str">
            <v>VN</v>
          </cell>
          <cell r="AL299" t="str">
            <v>Thành phố Hồ Chí Minh</v>
          </cell>
        </row>
        <row r="300">
          <cell r="C300" t="str">
            <v>8105406234</v>
          </cell>
          <cell r="F300" t="str">
            <v>Đào Việt Thắng</v>
          </cell>
          <cell r="N300">
            <v>26318</v>
          </cell>
          <cell r="Q300" t="str">
            <v>Nam</v>
          </cell>
          <cell r="S300" t="str">
            <v>VN</v>
          </cell>
          <cell r="AL300" t="str">
            <v>Thành phố Hà Nội</v>
          </cell>
        </row>
        <row r="301">
          <cell r="C301" t="str">
            <v>8106129424</v>
          </cell>
          <cell r="F301" t="str">
            <v>Hồ Thị Hiệp</v>
          </cell>
          <cell r="N301">
            <v>32732</v>
          </cell>
          <cell r="Q301" t="str">
            <v>Nữ</v>
          </cell>
          <cell r="S301" t="str">
            <v>VN</v>
          </cell>
          <cell r="AL301" t="str">
            <v>Thành phố Hồ Chí Minh</v>
          </cell>
        </row>
        <row r="302">
          <cell r="C302" t="str">
            <v>8107065621</v>
          </cell>
          <cell r="F302" t="str">
            <v>Phạm Thị Cẩm Loan</v>
          </cell>
          <cell r="N302">
            <v>32632</v>
          </cell>
          <cell r="Q302" t="str">
            <v>Nữ</v>
          </cell>
          <cell r="S302" t="str">
            <v>VN</v>
          </cell>
          <cell r="AL302" t="str">
            <v>Thành phố Hồ Chí Minh</v>
          </cell>
        </row>
        <row r="303">
          <cell r="C303" t="str">
            <v>8108033132</v>
          </cell>
          <cell r="F303" t="str">
            <v>Nguyễn Thị Ánh Nguyệt</v>
          </cell>
          <cell r="N303">
            <v>32319</v>
          </cell>
          <cell r="Q303" t="str">
            <v>Nữ</v>
          </cell>
          <cell r="S303" t="str">
            <v>VN</v>
          </cell>
          <cell r="AL303" t="str">
            <v>Thành phố Đà Nẵng</v>
          </cell>
        </row>
        <row r="304">
          <cell r="C304" t="str">
            <v>8108779442</v>
          </cell>
          <cell r="F304" t="str">
            <v>Lê Thị Phương Anh</v>
          </cell>
          <cell r="N304">
            <v>32046</v>
          </cell>
          <cell r="Q304" t="str">
            <v>Nữ</v>
          </cell>
          <cell r="S304" t="str">
            <v>VN</v>
          </cell>
          <cell r="AL304" t="str">
            <v>Thành phố Hồ Chí Minh</v>
          </cell>
        </row>
        <row r="305">
          <cell r="C305" t="str">
            <v>8108882538</v>
          </cell>
          <cell r="F305" t="str">
            <v>Nguyễn Tuấn Đông Hải</v>
          </cell>
          <cell r="N305">
            <v>32184</v>
          </cell>
          <cell r="Q305" t="str">
            <v>Nam</v>
          </cell>
          <cell r="S305" t="str">
            <v>VN</v>
          </cell>
          <cell r="AL305" t="str">
            <v>Thành phố Đà Nẵng</v>
          </cell>
        </row>
        <row r="306">
          <cell r="C306" t="str">
            <v>8109290164</v>
          </cell>
          <cell r="F306" t="str">
            <v>Đỗ Tiến Dân</v>
          </cell>
          <cell r="N306">
            <v>32702</v>
          </cell>
          <cell r="Q306" t="str">
            <v>Nam</v>
          </cell>
          <cell r="S306" t="str">
            <v>VN</v>
          </cell>
          <cell r="AL306" t="str">
            <v>Thành phố Hồ Chí Minh</v>
          </cell>
        </row>
        <row r="307">
          <cell r="C307" t="str">
            <v>8109726066</v>
          </cell>
          <cell r="F307" t="str">
            <v>Lương Văn Sửu</v>
          </cell>
          <cell r="N307">
            <v>32422</v>
          </cell>
          <cell r="Q307" t="str">
            <v>Nam</v>
          </cell>
          <cell r="S307" t="str">
            <v>VN</v>
          </cell>
          <cell r="AL307" t="str">
            <v>Tỉnh Gia Lai</v>
          </cell>
        </row>
        <row r="308">
          <cell r="C308" t="str">
            <v>8110546036</v>
          </cell>
          <cell r="F308" t="str">
            <v>Nguyễn Trung Kiên</v>
          </cell>
          <cell r="N308">
            <v>27126</v>
          </cell>
          <cell r="Q308" t="str">
            <v>Nam</v>
          </cell>
          <cell r="S308" t="str">
            <v>VN</v>
          </cell>
          <cell r="AL308" t="str">
            <v>Thành phố Hà Nội</v>
          </cell>
        </row>
        <row r="309">
          <cell r="C309" t="str">
            <v>8110546043</v>
          </cell>
          <cell r="F309" t="str">
            <v>Uông Hướng Dương</v>
          </cell>
          <cell r="N309">
            <v>28562</v>
          </cell>
          <cell r="Q309" t="str">
            <v>Nam</v>
          </cell>
          <cell r="S309" t="str">
            <v>VN</v>
          </cell>
          <cell r="AL309" t="str">
            <v>Thành phố Hà Nội</v>
          </cell>
        </row>
        <row r="310">
          <cell r="C310" t="str">
            <v>8110546117</v>
          </cell>
          <cell r="F310" t="str">
            <v>Trần Quốc Tiến</v>
          </cell>
          <cell r="N310">
            <v>27120</v>
          </cell>
          <cell r="Q310" t="str">
            <v>Nam</v>
          </cell>
          <cell r="S310" t="str">
            <v>VN</v>
          </cell>
          <cell r="AL310" t="str">
            <v>Thành phố Hà Nội</v>
          </cell>
        </row>
        <row r="311">
          <cell r="C311" t="str">
            <v>8110593974</v>
          </cell>
          <cell r="F311" t="str">
            <v>Võ Xuyên Hải</v>
          </cell>
          <cell r="N311">
            <v>31364</v>
          </cell>
          <cell r="Q311" t="str">
            <v>Nam</v>
          </cell>
          <cell r="S311" t="str">
            <v>VN</v>
          </cell>
          <cell r="AL311" t="str">
            <v>Thành phố Hồ Chí Minh</v>
          </cell>
        </row>
        <row r="312">
          <cell r="C312" t="str">
            <v>8111222034</v>
          </cell>
          <cell r="F312" t="str">
            <v>Phạm Thị Tiện</v>
          </cell>
          <cell r="N312">
            <v>32487</v>
          </cell>
          <cell r="Q312" t="str">
            <v>Nữ</v>
          </cell>
          <cell r="S312" t="str">
            <v>VN</v>
          </cell>
          <cell r="AL312" t="str">
            <v>Thành phố Hồ Chí Minh</v>
          </cell>
        </row>
        <row r="313">
          <cell r="C313" t="str">
            <v>8113258741</v>
          </cell>
          <cell r="F313" t="str">
            <v>Lê Thị Thu Hiền</v>
          </cell>
          <cell r="N313">
            <v>29828</v>
          </cell>
          <cell r="Q313" t="str">
            <v>Nữ</v>
          </cell>
          <cell r="S313" t="str">
            <v>VN</v>
          </cell>
          <cell r="AL313" t="str">
            <v>Thành phố Hà Nội</v>
          </cell>
        </row>
        <row r="314">
          <cell r="C314" t="str">
            <v>8113748143</v>
          </cell>
          <cell r="F314" t="str">
            <v>Văn Ngọc Hùng</v>
          </cell>
          <cell r="N314">
            <v>31062</v>
          </cell>
          <cell r="Q314" t="str">
            <v>Nam</v>
          </cell>
          <cell r="S314" t="str">
            <v>VN</v>
          </cell>
          <cell r="AL314" t="str">
            <v>Thành phố Hồ Chí Minh</v>
          </cell>
        </row>
        <row r="315">
          <cell r="C315" t="str">
            <v>8113780771</v>
          </cell>
          <cell r="F315" t="str">
            <v>Vũ Công Đại</v>
          </cell>
          <cell r="N315">
            <v>31615</v>
          </cell>
          <cell r="Q315" t="str">
            <v>Nam</v>
          </cell>
          <cell r="S315" t="str">
            <v>VN</v>
          </cell>
          <cell r="AL315" t="str">
            <v>Thành phố Hà Nội</v>
          </cell>
        </row>
        <row r="316">
          <cell r="C316" t="str">
            <v>8116182554</v>
          </cell>
          <cell r="F316" t="str">
            <v>Tạ Quang Vượng</v>
          </cell>
          <cell r="N316">
            <v>32390</v>
          </cell>
          <cell r="Q316" t="str">
            <v>Nam</v>
          </cell>
          <cell r="S316" t="str">
            <v>VN</v>
          </cell>
          <cell r="AL316" t="str">
            <v>Thành phố Hồ Chí Minh</v>
          </cell>
        </row>
        <row r="317">
          <cell r="C317" t="str">
            <v>8116570275</v>
          </cell>
          <cell r="F317" t="str">
            <v>Nguyễn Văn Tốt</v>
          </cell>
          <cell r="N317">
            <v>29633</v>
          </cell>
          <cell r="Q317" t="str">
            <v>Nam</v>
          </cell>
          <cell r="S317" t="str">
            <v>VN</v>
          </cell>
          <cell r="AL317" t="str">
            <v>Thành phố Hồ Chí Minh</v>
          </cell>
        </row>
        <row r="318">
          <cell r="C318" t="str">
            <v>8116841260</v>
          </cell>
          <cell r="F318" t="str">
            <v>Đinh Trọng Nghĩa</v>
          </cell>
          <cell r="N318">
            <v>24158</v>
          </cell>
          <cell r="Q318" t="str">
            <v>Nam</v>
          </cell>
          <cell r="S318" t="str">
            <v>VN</v>
          </cell>
          <cell r="AL318" t="str">
            <v>Thành phố Hà Nội</v>
          </cell>
        </row>
        <row r="319">
          <cell r="C319" t="str">
            <v>8116841285</v>
          </cell>
          <cell r="F319" t="str">
            <v>Hoàng Anh Kiên</v>
          </cell>
          <cell r="N319">
            <v>31330</v>
          </cell>
          <cell r="Q319" t="str">
            <v>Nam</v>
          </cell>
          <cell r="S319" t="str">
            <v>VN</v>
          </cell>
          <cell r="AL319" t="str">
            <v>Thành phố Hà Nội</v>
          </cell>
        </row>
        <row r="320">
          <cell r="C320" t="str">
            <v>8116841302</v>
          </cell>
          <cell r="F320" t="str">
            <v>Nguyễn Thị Đoan Trang</v>
          </cell>
          <cell r="N320">
            <v>29472</v>
          </cell>
          <cell r="Q320" t="str">
            <v>Nữ</v>
          </cell>
          <cell r="S320" t="str">
            <v>VN</v>
          </cell>
          <cell r="AL320" t="str">
            <v>Thành phố Hà Nội</v>
          </cell>
        </row>
        <row r="321">
          <cell r="C321" t="str">
            <v>8116841334</v>
          </cell>
          <cell r="F321" t="str">
            <v>Chu Thị Phương</v>
          </cell>
          <cell r="N321">
            <v>32175</v>
          </cell>
          <cell r="Q321" t="str">
            <v>Nữ</v>
          </cell>
          <cell r="S321" t="str">
            <v>VN</v>
          </cell>
          <cell r="AL321" t="str">
            <v>Thành phố Hà Nội</v>
          </cell>
        </row>
        <row r="322">
          <cell r="C322" t="str">
            <v>8116992460</v>
          </cell>
          <cell r="F322" t="str">
            <v>Mạc Văn Tiến</v>
          </cell>
          <cell r="N322">
            <v>32013</v>
          </cell>
          <cell r="Q322" t="str">
            <v>Nam</v>
          </cell>
          <cell r="S322" t="str">
            <v>VN</v>
          </cell>
          <cell r="AL322" t="str">
            <v>Thành phố Hà Nội</v>
          </cell>
        </row>
        <row r="323">
          <cell r="C323" t="str">
            <v>8117728395</v>
          </cell>
          <cell r="F323" t="str">
            <v>Nguyễn Hữu Phúc</v>
          </cell>
          <cell r="N323">
            <v>27398</v>
          </cell>
          <cell r="Q323" t="str">
            <v>Nam</v>
          </cell>
          <cell r="S323" t="str">
            <v>VN</v>
          </cell>
          <cell r="AL323" t="str">
            <v>Thành phố Hồ Chí Minh</v>
          </cell>
        </row>
        <row r="324">
          <cell r="C324" t="str">
            <v>8118118882</v>
          </cell>
          <cell r="F324" t="str">
            <v>Đặng Mạnh Cường</v>
          </cell>
          <cell r="N324">
            <v>32000</v>
          </cell>
          <cell r="Q324" t="str">
            <v>Nam</v>
          </cell>
          <cell r="S324" t="str">
            <v>VN</v>
          </cell>
          <cell r="AL324" t="str">
            <v>Thành phố Hà Nội</v>
          </cell>
        </row>
        <row r="325">
          <cell r="C325" t="str">
            <v>8118688120</v>
          </cell>
          <cell r="F325" t="str">
            <v>Phạm Thị Vân Anh</v>
          </cell>
          <cell r="N325">
            <v>31877</v>
          </cell>
          <cell r="Q325" t="str">
            <v>Nữ</v>
          </cell>
          <cell r="S325" t="str">
            <v>VN</v>
          </cell>
          <cell r="AL325" t="str">
            <v>Thành phố Hà Nội</v>
          </cell>
        </row>
        <row r="326">
          <cell r="C326" t="str">
            <v>8119072574</v>
          </cell>
          <cell r="F326" t="str">
            <v>Hoàng Trần Thắng</v>
          </cell>
          <cell r="N326">
            <v>33663</v>
          </cell>
          <cell r="Q326" t="str">
            <v>Nam</v>
          </cell>
          <cell r="S326" t="str">
            <v>VN</v>
          </cell>
          <cell r="AL326" t="str">
            <v>Thành phố Hà Nội</v>
          </cell>
        </row>
        <row r="327">
          <cell r="C327" t="str">
            <v>8119301249</v>
          </cell>
          <cell r="F327" t="str">
            <v>Lý Tân</v>
          </cell>
          <cell r="N327">
            <v>32021</v>
          </cell>
          <cell r="Q327" t="str">
            <v>Nam</v>
          </cell>
          <cell r="S327" t="str">
            <v>VN</v>
          </cell>
          <cell r="AL327" t="str">
            <v>Thành phố Hồ Chí Minh</v>
          </cell>
        </row>
        <row r="328">
          <cell r="C328" t="str">
            <v>8119311649</v>
          </cell>
          <cell r="F328" t="str">
            <v>Hoàng Thị Hồng Chuyên</v>
          </cell>
          <cell r="N328">
            <v>32958</v>
          </cell>
          <cell r="Q328" t="str">
            <v>Nữ</v>
          </cell>
          <cell r="S328" t="str">
            <v>VN</v>
          </cell>
          <cell r="AL328" t="str">
            <v>Thành phố Hà Nội</v>
          </cell>
        </row>
        <row r="329">
          <cell r="C329" t="str">
            <v>8120909810</v>
          </cell>
          <cell r="F329" t="str">
            <v>Trần Thị Thanh Dung</v>
          </cell>
          <cell r="N329">
            <v>32070</v>
          </cell>
          <cell r="Q329" t="str">
            <v>Nữ</v>
          </cell>
          <cell r="S329" t="str">
            <v>VN</v>
          </cell>
          <cell r="AL329" t="str">
            <v>Thành phố Hà Nội</v>
          </cell>
        </row>
        <row r="330">
          <cell r="C330" t="str">
            <v>8121666222</v>
          </cell>
          <cell r="F330" t="str">
            <v>Nguyễn Thụy Huyền Trang</v>
          </cell>
          <cell r="N330">
            <v>33178</v>
          </cell>
          <cell r="Q330" t="str">
            <v>Nữ</v>
          </cell>
          <cell r="S330" t="str">
            <v>VN</v>
          </cell>
          <cell r="AL330" t="str">
            <v>Thành phố Hồ Chí Minh</v>
          </cell>
        </row>
        <row r="331">
          <cell r="C331" t="str">
            <v>8122031070</v>
          </cell>
          <cell r="F331" t="str">
            <v>Thái Hùng</v>
          </cell>
          <cell r="N331">
            <v>32456</v>
          </cell>
          <cell r="Q331" t="str">
            <v>Nam</v>
          </cell>
          <cell r="S331" t="str">
            <v>VN</v>
          </cell>
          <cell r="AL331" t="str">
            <v>Thành phố Hà Nội</v>
          </cell>
        </row>
        <row r="332">
          <cell r="C332" t="str">
            <v>8122246005</v>
          </cell>
          <cell r="F332" t="str">
            <v>Nguyễn Phương Huệ</v>
          </cell>
          <cell r="N332">
            <v>32268</v>
          </cell>
          <cell r="Q332" t="str">
            <v>Nữ</v>
          </cell>
          <cell r="S332" t="str">
            <v>VN</v>
          </cell>
          <cell r="AL332" t="str">
            <v>Thành phố Hồ Chí Minh</v>
          </cell>
        </row>
        <row r="333">
          <cell r="C333" t="str">
            <v>8122303285</v>
          </cell>
          <cell r="F333" t="str">
            <v>Nguyễn Thị Quỳnh Hoa</v>
          </cell>
          <cell r="N333">
            <v>32030</v>
          </cell>
          <cell r="Q333" t="str">
            <v>Nữ</v>
          </cell>
          <cell r="S333" t="str">
            <v>VN</v>
          </cell>
          <cell r="AL333" t="str">
            <v>Thành phố Hà Nội</v>
          </cell>
        </row>
        <row r="334">
          <cell r="C334" t="str">
            <v>8127348561</v>
          </cell>
          <cell r="F334" t="str">
            <v>Phan Thị Kim Ánh</v>
          </cell>
          <cell r="N334">
            <v>31309</v>
          </cell>
          <cell r="Q334" t="str">
            <v>Nữ</v>
          </cell>
          <cell r="S334" t="str">
            <v>VN</v>
          </cell>
          <cell r="AL334" t="str">
            <v>Thành phố Đà Nẵng</v>
          </cell>
        </row>
        <row r="335">
          <cell r="C335" t="str">
            <v>8131482023</v>
          </cell>
          <cell r="F335" t="str">
            <v>Phạm Thị Hoài Thu</v>
          </cell>
          <cell r="N335">
            <v>32330</v>
          </cell>
          <cell r="Q335" t="str">
            <v>Nữ</v>
          </cell>
          <cell r="S335" t="str">
            <v>VN</v>
          </cell>
          <cell r="AL335" t="str">
            <v>Thành phố Hà Nội</v>
          </cell>
        </row>
        <row r="336">
          <cell r="C336" t="str">
            <v>8131999252</v>
          </cell>
          <cell r="F336" t="str">
            <v>Dương Ngọc Minh</v>
          </cell>
          <cell r="N336">
            <v>32436</v>
          </cell>
          <cell r="Q336" t="str">
            <v>Nam</v>
          </cell>
          <cell r="S336" t="str">
            <v>VN</v>
          </cell>
          <cell r="AL336" t="str">
            <v>Thành phố Hà Nội</v>
          </cell>
        </row>
        <row r="337">
          <cell r="C337" t="str">
            <v>8136678164</v>
          </cell>
          <cell r="F337" t="str">
            <v>Lê Hồng Loan</v>
          </cell>
          <cell r="N337">
            <v>33402</v>
          </cell>
          <cell r="Q337" t="str">
            <v>Nữ</v>
          </cell>
          <cell r="S337" t="str">
            <v>VN</v>
          </cell>
          <cell r="AL337" t="str">
            <v>Thành phố Hà Nội</v>
          </cell>
        </row>
        <row r="338">
          <cell r="C338" t="str">
            <v>8142853921</v>
          </cell>
          <cell r="F338" t="str">
            <v>Võ Văn Chiến</v>
          </cell>
          <cell r="N338">
            <v>23012</v>
          </cell>
          <cell r="Q338" t="str">
            <v>Nam</v>
          </cell>
          <cell r="S338" t="str">
            <v>VN</v>
          </cell>
          <cell r="AL338" t="str">
            <v>Thành phố Hồ Chí Minh</v>
          </cell>
        </row>
        <row r="339">
          <cell r="C339" t="str">
            <v>8143555798</v>
          </cell>
          <cell r="F339" t="str">
            <v>Nguyễn Đăng Thế</v>
          </cell>
          <cell r="N339">
            <v>18132</v>
          </cell>
          <cell r="Q339" t="str">
            <v>Nam</v>
          </cell>
          <cell r="S339" t="str">
            <v>VN</v>
          </cell>
          <cell r="AL339" t="str">
            <v>Thành phố Đà Nẵng</v>
          </cell>
        </row>
        <row r="340">
          <cell r="C340" t="str">
            <v>8146334395</v>
          </cell>
          <cell r="F340" t="str">
            <v>Lê Thị Huyền Trang</v>
          </cell>
          <cell r="N340">
            <v>32944</v>
          </cell>
          <cell r="Q340" t="str">
            <v>Nữ</v>
          </cell>
          <cell r="S340" t="str">
            <v>VN</v>
          </cell>
          <cell r="AL340" t="str">
            <v>Thành phố Hà Nội</v>
          </cell>
        </row>
        <row r="341">
          <cell r="C341" t="str">
            <v>8150999353</v>
          </cell>
          <cell r="F341" t="str">
            <v>Trương Trọng Thu</v>
          </cell>
          <cell r="N341">
            <v>31207</v>
          </cell>
          <cell r="Q341" t="str">
            <v>Nam</v>
          </cell>
          <cell r="S341" t="str">
            <v>VN</v>
          </cell>
          <cell r="AL341" t="str">
            <v>Thành phố Hà Nội</v>
          </cell>
        </row>
        <row r="342">
          <cell r="C342" t="str">
            <v>8152466424</v>
          </cell>
          <cell r="F342" t="str">
            <v>Nguyễn Duy Linh</v>
          </cell>
          <cell r="N342">
            <v>32482</v>
          </cell>
          <cell r="Q342" t="str">
            <v>Nam</v>
          </cell>
          <cell r="S342" t="str">
            <v>VN</v>
          </cell>
          <cell r="AL342" t="str">
            <v>Thành phố Hà Nội</v>
          </cell>
        </row>
        <row r="343">
          <cell r="C343" t="str">
            <v>8161063566</v>
          </cell>
          <cell r="F343" t="str">
            <v>Trần Thị Mai Phương</v>
          </cell>
          <cell r="N343">
            <v>20872</v>
          </cell>
          <cell r="Q343" t="str">
            <v>Nữ</v>
          </cell>
          <cell r="S343" t="str">
            <v>VN</v>
          </cell>
          <cell r="AL343" t="str">
            <v>Thành phố Hà Nội</v>
          </cell>
        </row>
        <row r="344">
          <cell r="C344" t="str">
            <v>8174738752</v>
          </cell>
          <cell r="F344" t="str">
            <v>Phạm Văn Việt</v>
          </cell>
          <cell r="N344">
            <v>33911</v>
          </cell>
          <cell r="Q344" t="str">
            <v>Nam</v>
          </cell>
          <cell r="S344" t="str">
            <v>VN</v>
          </cell>
          <cell r="AL344" t="str">
            <v>Tỉnh Thanh Hóa</v>
          </cell>
        </row>
        <row r="345">
          <cell r="C345" t="str">
            <v>8187664307</v>
          </cell>
          <cell r="F345" t="str">
            <v>Ngô Văn Thạnh</v>
          </cell>
          <cell r="N345">
            <v>24150</v>
          </cell>
          <cell r="Q345" t="str">
            <v>Nam</v>
          </cell>
          <cell r="S345" t="str">
            <v>VN</v>
          </cell>
          <cell r="AL345" t="str">
            <v>Thành phố Hà Nội</v>
          </cell>
        </row>
        <row r="346">
          <cell r="C346" t="str">
            <v>8253025747</v>
          </cell>
          <cell r="F346" t="str">
            <v>Lương Thị Minh Huệ</v>
          </cell>
          <cell r="N346">
            <v>33030</v>
          </cell>
          <cell r="Q346" t="str">
            <v>Nữ</v>
          </cell>
          <cell r="S346" t="str">
            <v>VN</v>
          </cell>
          <cell r="AL346" t="str">
            <v>Thành phố Hà Nội</v>
          </cell>
        </row>
        <row r="347">
          <cell r="C347" t="str">
            <v>8256713131</v>
          </cell>
          <cell r="F347" t="str">
            <v>Nguyễn Hữu Đức</v>
          </cell>
          <cell r="N347">
            <v>31061</v>
          </cell>
          <cell r="Q347" t="str">
            <v>Nam</v>
          </cell>
          <cell r="S347" t="str">
            <v>VN</v>
          </cell>
          <cell r="AL347" t="str">
            <v>Thành phố Đà Nẵng</v>
          </cell>
        </row>
        <row r="348">
          <cell r="C348" t="str">
            <v>8271413661</v>
          </cell>
          <cell r="F348" t="str">
            <v>Nguyễn Thị Thủy</v>
          </cell>
          <cell r="N348">
            <v>32419</v>
          </cell>
          <cell r="Q348" t="str">
            <v>Nữ</v>
          </cell>
          <cell r="S348" t="str">
            <v>VN</v>
          </cell>
          <cell r="AL348" t="str">
            <v>Thành phố Hồ Chí Minh</v>
          </cell>
        </row>
        <row r="349">
          <cell r="C349" t="str">
            <v>8285102680</v>
          </cell>
          <cell r="F349" t="str">
            <v>Lê Ngọc Kỷ</v>
          </cell>
          <cell r="N349">
            <v>32843</v>
          </cell>
          <cell r="Q349" t="str">
            <v>Nam</v>
          </cell>
          <cell r="S349" t="str">
            <v>VN</v>
          </cell>
          <cell r="AL349" t="str">
            <v>Thành phố Đà Nẵng</v>
          </cell>
        </row>
        <row r="350">
          <cell r="C350" t="str">
            <v>8289603790</v>
          </cell>
          <cell r="F350" t="str">
            <v>Hoàng Đình Minh</v>
          </cell>
          <cell r="N350">
            <v>32464</v>
          </cell>
          <cell r="Q350" t="str">
            <v>Nam</v>
          </cell>
          <cell r="S350" t="str">
            <v>VN</v>
          </cell>
          <cell r="AL350" t="str">
            <v>Thành phố Hải Phòng</v>
          </cell>
        </row>
        <row r="351">
          <cell r="C351" t="str">
            <v>8296120378</v>
          </cell>
          <cell r="F351" t="str">
            <v>Nguyễn Quốc Nam</v>
          </cell>
          <cell r="N351">
            <v>32905</v>
          </cell>
          <cell r="Q351" t="str">
            <v>Nam</v>
          </cell>
          <cell r="S351" t="str">
            <v>VN</v>
          </cell>
          <cell r="AL351" t="str">
            <v>Thành phố Hồ Chí Minh</v>
          </cell>
        </row>
        <row r="352">
          <cell r="C352" t="str">
            <v>8299036607</v>
          </cell>
          <cell r="F352" t="str">
            <v>Nguyễn Thế Quân</v>
          </cell>
          <cell r="N352">
            <v>33848</v>
          </cell>
          <cell r="Q352" t="str">
            <v>Nam</v>
          </cell>
          <cell r="S352" t="str">
            <v>VN</v>
          </cell>
          <cell r="AL352" t="str">
            <v>Thành phố Hà Nội</v>
          </cell>
        </row>
        <row r="353">
          <cell r="C353" t="str">
            <v>8300951850</v>
          </cell>
          <cell r="F353" t="str">
            <v>Trương Thị Hồng Nhi</v>
          </cell>
          <cell r="N353">
            <v>34145</v>
          </cell>
          <cell r="Q353" t="str">
            <v>Nữ</v>
          </cell>
          <cell r="S353" t="str">
            <v>VN</v>
          </cell>
          <cell r="AL353" t="str">
            <v>Thành phố Hồ Chí Minh</v>
          </cell>
        </row>
        <row r="354">
          <cell r="C354" t="str">
            <v>8304323053</v>
          </cell>
          <cell r="F354" t="str">
            <v>Dương Thị Ngọc Trân</v>
          </cell>
          <cell r="N354">
            <v>33794</v>
          </cell>
          <cell r="Q354" t="str">
            <v>Nữ</v>
          </cell>
          <cell r="S354" t="str">
            <v>VN</v>
          </cell>
          <cell r="AL354" t="str">
            <v>Thành phố Hồ Chí Minh</v>
          </cell>
        </row>
        <row r="355">
          <cell r="C355" t="str">
            <v>8305314608</v>
          </cell>
          <cell r="F355" t="str">
            <v>Đỗ Xuân Tùng</v>
          </cell>
          <cell r="N355">
            <v>33390</v>
          </cell>
          <cell r="Q355" t="str">
            <v>Nam</v>
          </cell>
          <cell r="S355" t="str">
            <v>VN</v>
          </cell>
          <cell r="AL355" t="str">
            <v>Thành phố Hà Nội</v>
          </cell>
        </row>
        <row r="356">
          <cell r="C356" t="str">
            <v>8305962493</v>
          </cell>
          <cell r="F356" t="str">
            <v>Phạm Thị Thanh Hoa</v>
          </cell>
          <cell r="N356">
            <v>33419</v>
          </cell>
          <cell r="Q356" t="str">
            <v>Nữ</v>
          </cell>
          <cell r="S356" t="str">
            <v>VN</v>
          </cell>
          <cell r="AL356" t="str">
            <v>Thành phố Hà Nội</v>
          </cell>
        </row>
        <row r="357">
          <cell r="C357" t="str">
            <v>8306921877</v>
          </cell>
          <cell r="F357" t="str">
            <v>Nguyễn Tiến Linh</v>
          </cell>
          <cell r="N357">
            <v>32541</v>
          </cell>
          <cell r="Q357" t="str">
            <v>Nam</v>
          </cell>
          <cell r="S357" t="str">
            <v>VN</v>
          </cell>
          <cell r="AL357" t="str">
            <v>Thành phố Hà Nội</v>
          </cell>
        </row>
        <row r="358">
          <cell r="C358" t="str">
            <v>8307178460</v>
          </cell>
          <cell r="F358" t="str">
            <v>Trần Huế Anh</v>
          </cell>
          <cell r="N358">
            <v>33567</v>
          </cell>
          <cell r="Q358" t="str">
            <v>Nữ</v>
          </cell>
          <cell r="S358" t="str">
            <v>VN</v>
          </cell>
          <cell r="AL358" t="str">
            <v>Thành phố Hồ Chí Minh</v>
          </cell>
        </row>
        <row r="359">
          <cell r="C359" t="str">
            <v>8309806456</v>
          </cell>
          <cell r="F359" t="str">
            <v>Giáp Văn Thắng</v>
          </cell>
          <cell r="N359">
            <v>30549</v>
          </cell>
          <cell r="Q359" t="str">
            <v>Nam</v>
          </cell>
          <cell r="S359" t="str">
            <v>VN</v>
          </cell>
          <cell r="AL359" t="str">
            <v>Thành phố Hồ Chí Minh</v>
          </cell>
        </row>
        <row r="360">
          <cell r="C360" t="str">
            <v>8312287352</v>
          </cell>
          <cell r="F360" t="str">
            <v>Nguyễn Thị Hải Yến</v>
          </cell>
          <cell r="N360">
            <v>33554</v>
          </cell>
          <cell r="Q360" t="str">
            <v>Nữ</v>
          </cell>
          <cell r="S360" t="str">
            <v>VN</v>
          </cell>
          <cell r="AL360" t="str">
            <v>Thành phố Hà Nội</v>
          </cell>
        </row>
        <row r="361">
          <cell r="C361" t="str">
            <v>8312547360</v>
          </cell>
          <cell r="F361" t="str">
            <v>Phạm Thị Ba</v>
          </cell>
          <cell r="N361">
            <v>32874</v>
          </cell>
          <cell r="Q361" t="str">
            <v>Nữ</v>
          </cell>
          <cell r="S361" t="str">
            <v>VN</v>
          </cell>
          <cell r="AL361" t="str">
            <v>Thành phố Hồ Chí Minh</v>
          </cell>
        </row>
        <row r="362">
          <cell r="C362" t="str">
            <v>8312711518</v>
          </cell>
          <cell r="F362" t="str">
            <v>Hà Văn Triều</v>
          </cell>
          <cell r="N362">
            <v>32344</v>
          </cell>
          <cell r="Q362" t="str">
            <v>Nam</v>
          </cell>
          <cell r="S362" t="str">
            <v>VN</v>
          </cell>
          <cell r="AL362" t="str">
            <v>Thành phố Hà Nội</v>
          </cell>
        </row>
        <row r="363">
          <cell r="C363" t="str">
            <v>8314394568</v>
          </cell>
          <cell r="F363" t="str">
            <v>Nguyễn Thị Thu Hương</v>
          </cell>
          <cell r="N363">
            <v>32496</v>
          </cell>
          <cell r="Q363" t="str">
            <v>Nữ</v>
          </cell>
          <cell r="S363" t="str">
            <v>VN</v>
          </cell>
          <cell r="AL363" t="str">
            <v>Thành phố Hồ Chí Minh</v>
          </cell>
        </row>
        <row r="364">
          <cell r="C364" t="str">
            <v>8322467308</v>
          </cell>
          <cell r="F364" t="str">
            <v>Lê Hồng Nguyên</v>
          </cell>
          <cell r="N364">
            <v>33088</v>
          </cell>
          <cell r="Q364" t="str">
            <v>Nữ</v>
          </cell>
          <cell r="S364" t="str">
            <v>VN</v>
          </cell>
          <cell r="AL364" t="str">
            <v>Thành phố Hồ Chí Minh</v>
          </cell>
        </row>
        <row r="365">
          <cell r="C365" t="str">
            <v>8324036392</v>
          </cell>
          <cell r="F365" t="str">
            <v>Phạm Minh Hoàng</v>
          </cell>
          <cell r="N365">
            <v>33211</v>
          </cell>
          <cell r="Q365" t="str">
            <v>Nam</v>
          </cell>
          <cell r="S365" t="str">
            <v>VN</v>
          </cell>
          <cell r="AL365" t="str">
            <v>Thành phố Hồ Chí Minh</v>
          </cell>
        </row>
        <row r="366">
          <cell r="C366" t="str">
            <v>8324190108</v>
          </cell>
          <cell r="F366" t="str">
            <v>Nguyễn Thị Kim Thoa</v>
          </cell>
          <cell r="N366">
            <v>33443</v>
          </cell>
          <cell r="Q366" t="str">
            <v>Nữ</v>
          </cell>
          <cell r="S366" t="str">
            <v>VN</v>
          </cell>
          <cell r="AL366" t="str">
            <v>Thành phố Hồ Chí Minh</v>
          </cell>
        </row>
        <row r="367">
          <cell r="C367" t="str">
            <v>8325143855</v>
          </cell>
          <cell r="F367" t="str">
            <v>Nguyễn Thị Bích Hạnh</v>
          </cell>
          <cell r="N367">
            <v>32789</v>
          </cell>
          <cell r="Q367" t="str">
            <v>Nữ</v>
          </cell>
          <cell r="S367" t="str">
            <v>VN</v>
          </cell>
          <cell r="AL367" t="str">
            <v>Thành phố Hà Nội</v>
          </cell>
        </row>
        <row r="368">
          <cell r="C368" t="str">
            <v>8325550586</v>
          </cell>
          <cell r="F368" t="str">
            <v>Nguyễn Thục Chinh</v>
          </cell>
          <cell r="N368">
            <v>32837</v>
          </cell>
          <cell r="Q368" t="str">
            <v>Nữ</v>
          </cell>
          <cell r="S368" t="str">
            <v>VN</v>
          </cell>
          <cell r="AL368" t="str">
            <v>Thành phố Hà Nội</v>
          </cell>
        </row>
        <row r="369">
          <cell r="C369" t="str">
            <v>8326205254</v>
          </cell>
          <cell r="F369" t="str">
            <v>Đỗ Thị Minh Trang</v>
          </cell>
          <cell r="N369">
            <v>34735</v>
          </cell>
          <cell r="Q369" t="str">
            <v>Nữ</v>
          </cell>
          <cell r="S369" t="str">
            <v>VN</v>
          </cell>
          <cell r="AL369" t="str">
            <v>Thành phố Hà Nội</v>
          </cell>
        </row>
        <row r="370">
          <cell r="C370" t="str">
            <v>8327441906</v>
          </cell>
          <cell r="F370" t="str">
            <v>Hồ Hữu Hậu</v>
          </cell>
          <cell r="N370">
            <v>33529</v>
          </cell>
          <cell r="Q370" t="str">
            <v>Nam</v>
          </cell>
          <cell r="S370" t="str">
            <v>VN</v>
          </cell>
          <cell r="AL370" t="str">
            <v>Thành phố Hồ Chí Minh</v>
          </cell>
        </row>
        <row r="371">
          <cell r="C371" t="str">
            <v>8333600142</v>
          </cell>
          <cell r="F371" t="str">
            <v>Nguyễn Huy Nam</v>
          </cell>
          <cell r="N371">
            <v>33603</v>
          </cell>
          <cell r="Q371" t="str">
            <v>Nam</v>
          </cell>
          <cell r="S371" t="str">
            <v>VN</v>
          </cell>
          <cell r="AL371" t="str">
            <v>Thành phố Hà Nội</v>
          </cell>
        </row>
        <row r="372">
          <cell r="C372" t="str">
            <v>8333824343</v>
          </cell>
          <cell r="F372" t="str">
            <v>Nguyễn Thị Diệu Linh</v>
          </cell>
          <cell r="N372">
            <v>34242</v>
          </cell>
          <cell r="Q372" t="str">
            <v>Nữ</v>
          </cell>
          <cell r="S372" t="str">
            <v>VN</v>
          </cell>
          <cell r="AL372" t="str">
            <v>Thành phố Hà Nội</v>
          </cell>
        </row>
        <row r="373">
          <cell r="C373" t="str">
            <v>8334836969</v>
          </cell>
          <cell r="F373" t="str">
            <v>Nguyễn Khoa Nhật Thảo</v>
          </cell>
          <cell r="N373">
            <v>31726</v>
          </cell>
          <cell r="Q373" t="str">
            <v>Nữ</v>
          </cell>
          <cell r="S373" t="str">
            <v>VN</v>
          </cell>
          <cell r="AL373" t="str">
            <v>Thành phố Hồ Chí Minh</v>
          </cell>
        </row>
        <row r="374">
          <cell r="C374" t="str">
            <v>8336010085</v>
          </cell>
          <cell r="F374" t="str">
            <v>Phan Hiển Kiên</v>
          </cell>
          <cell r="N374">
            <v>31774</v>
          </cell>
          <cell r="Q374" t="str">
            <v>Nam</v>
          </cell>
          <cell r="S374" t="str">
            <v>VN</v>
          </cell>
          <cell r="AL374" t="str">
            <v>Thành phố Hà Nội</v>
          </cell>
        </row>
        <row r="375">
          <cell r="C375" t="str">
            <v>8336010092</v>
          </cell>
          <cell r="F375" t="str">
            <v>Hoàng Anh Ba</v>
          </cell>
          <cell r="N375">
            <v>32550</v>
          </cell>
          <cell r="Q375" t="str">
            <v>Nam</v>
          </cell>
          <cell r="S375" t="str">
            <v>VN</v>
          </cell>
          <cell r="AL375" t="str">
            <v>Thành phố Hà Nội</v>
          </cell>
        </row>
        <row r="376">
          <cell r="C376" t="str">
            <v>8337368596</v>
          </cell>
          <cell r="F376" t="str">
            <v>Nguyễn Thị Thủy</v>
          </cell>
          <cell r="N376">
            <v>32460</v>
          </cell>
          <cell r="Q376" t="str">
            <v>Nữ</v>
          </cell>
          <cell r="S376" t="str">
            <v>VN</v>
          </cell>
          <cell r="AL376" t="str">
            <v>Thành phố Hồ Chí Minh</v>
          </cell>
        </row>
        <row r="377">
          <cell r="C377" t="str">
            <v>8338632878</v>
          </cell>
          <cell r="F377" t="str">
            <v>Ngô Thị Huyền Trang</v>
          </cell>
          <cell r="N377">
            <v>33003</v>
          </cell>
          <cell r="Q377" t="str">
            <v>Nữ</v>
          </cell>
          <cell r="S377" t="str">
            <v>VN</v>
          </cell>
          <cell r="AL377" t="str">
            <v>Thành phố Hà Nội</v>
          </cell>
        </row>
        <row r="378">
          <cell r="C378" t="str">
            <v>8340593739</v>
          </cell>
          <cell r="F378" t="str">
            <v>Vũ Thế Thắng</v>
          </cell>
          <cell r="N378">
            <v>33486</v>
          </cell>
          <cell r="Q378" t="str">
            <v>Nam</v>
          </cell>
          <cell r="S378" t="str">
            <v>VN</v>
          </cell>
          <cell r="AL378" t="str">
            <v>Thành phố Hà Nội</v>
          </cell>
        </row>
        <row r="379">
          <cell r="C379" t="str">
            <v>8344532409</v>
          </cell>
          <cell r="F379" t="str">
            <v>Nguyễn Thị Trường Vi</v>
          </cell>
          <cell r="N379">
            <v>31869</v>
          </cell>
          <cell r="Q379" t="str">
            <v>Nữ</v>
          </cell>
          <cell r="S379" t="str">
            <v>VN</v>
          </cell>
          <cell r="AL379" t="str">
            <v>Thành phố Hồ Chí Minh</v>
          </cell>
        </row>
        <row r="380">
          <cell r="C380" t="str">
            <v>8345012642</v>
          </cell>
          <cell r="F380" t="str">
            <v>Hồ Thị Quỳnh Như</v>
          </cell>
          <cell r="N380">
            <v>33532</v>
          </cell>
          <cell r="Q380" t="str">
            <v>Nữ</v>
          </cell>
          <cell r="S380" t="str">
            <v>VN</v>
          </cell>
          <cell r="AL380" t="str">
            <v>Thành phố Hồ Chí Minh</v>
          </cell>
        </row>
        <row r="381">
          <cell r="C381" t="str">
            <v>8348704151</v>
          </cell>
          <cell r="F381" t="str">
            <v>Trương Quốc Vượng</v>
          </cell>
          <cell r="N381">
            <v>32593</v>
          </cell>
          <cell r="Q381" t="str">
            <v>Nam</v>
          </cell>
          <cell r="S381" t="str">
            <v>VN</v>
          </cell>
          <cell r="AL381" t="str">
            <v>Thành phố Hà Nội</v>
          </cell>
        </row>
        <row r="382">
          <cell r="C382" t="str">
            <v>8349204070</v>
          </cell>
          <cell r="F382" t="str">
            <v>Lê Bá Thanh Trọng</v>
          </cell>
          <cell r="N382">
            <v>33881</v>
          </cell>
          <cell r="Q382" t="str">
            <v>Nam</v>
          </cell>
          <cell r="S382" t="str">
            <v>VN</v>
          </cell>
          <cell r="AL382" t="str">
            <v>Thành phố Hồ Chí Minh</v>
          </cell>
        </row>
        <row r="383">
          <cell r="C383" t="str">
            <v>8352180172</v>
          </cell>
          <cell r="F383" t="str">
            <v>Trần Thị Thu Hương</v>
          </cell>
          <cell r="N383">
            <v>31705</v>
          </cell>
          <cell r="Q383" t="str">
            <v>Nữ</v>
          </cell>
          <cell r="S383" t="str">
            <v>VN</v>
          </cell>
          <cell r="AL383" t="str">
            <v>Thành phố Hồ Chí Minh</v>
          </cell>
        </row>
        <row r="384">
          <cell r="C384" t="str">
            <v>8353069025</v>
          </cell>
          <cell r="F384" t="str">
            <v>Cao Ngọc Thiên Phương</v>
          </cell>
          <cell r="N384">
            <v>34230</v>
          </cell>
          <cell r="Q384" t="str">
            <v>Nữ</v>
          </cell>
          <cell r="S384" t="str">
            <v>VN</v>
          </cell>
          <cell r="AL384" t="str">
            <v>Thành phố Hồ Chí Minh</v>
          </cell>
        </row>
        <row r="385">
          <cell r="C385" t="str">
            <v>8353164141</v>
          </cell>
          <cell r="F385" t="str">
            <v>Phạm Xuân Khánh</v>
          </cell>
          <cell r="N385">
            <v>33118</v>
          </cell>
          <cell r="Q385" t="str">
            <v>Nam</v>
          </cell>
          <cell r="S385" t="str">
            <v>VN</v>
          </cell>
          <cell r="AL385" t="str">
            <v>Tỉnh Nghệ An</v>
          </cell>
        </row>
        <row r="386">
          <cell r="C386" t="str">
            <v>8354417275</v>
          </cell>
          <cell r="F386" t="str">
            <v>Lâm Tuyết Ngân</v>
          </cell>
          <cell r="N386">
            <v>34234</v>
          </cell>
          <cell r="Q386" t="str">
            <v>Nữ</v>
          </cell>
          <cell r="S386" t="str">
            <v>VN</v>
          </cell>
          <cell r="AL386" t="str">
            <v>Thành phố Hồ Chí Minh</v>
          </cell>
        </row>
        <row r="387">
          <cell r="C387" t="str">
            <v>8358124350</v>
          </cell>
          <cell r="F387" t="str">
            <v>Nguyễn Thị Thu Sương</v>
          </cell>
          <cell r="N387">
            <v>30090</v>
          </cell>
          <cell r="Q387" t="str">
            <v>Nữ</v>
          </cell>
          <cell r="S387" t="str">
            <v>VN</v>
          </cell>
          <cell r="AL387" t="str">
            <v>Thành phố Hồ Chí Minh</v>
          </cell>
        </row>
        <row r="388">
          <cell r="C388" t="str">
            <v>8359274221</v>
          </cell>
          <cell r="F388" t="str">
            <v>Nguyễn Đình Minh</v>
          </cell>
          <cell r="N388">
            <v>34224</v>
          </cell>
          <cell r="Q388" t="str">
            <v>Nam</v>
          </cell>
          <cell r="S388" t="str">
            <v>VN</v>
          </cell>
          <cell r="AL388" t="str">
            <v>Thành phố Hà Nội</v>
          </cell>
        </row>
        <row r="389">
          <cell r="C389" t="str">
            <v>8361426922</v>
          </cell>
          <cell r="F389" t="str">
            <v>Võ Ngọc Lệ Hằng</v>
          </cell>
          <cell r="N389">
            <v>33684</v>
          </cell>
          <cell r="Q389" t="str">
            <v>Nữ</v>
          </cell>
          <cell r="S389" t="str">
            <v>VN</v>
          </cell>
          <cell r="AL389" t="str">
            <v>Thành phố Hồ Chí Minh</v>
          </cell>
        </row>
        <row r="390">
          <cell r="C390" t="str">
            <v>8362614012</v>
          </cell>
          <cell r="F390" t="str">
            <v>Lê Viết Hùng</v>
          </cell>
          <cell r="N390">
            <v>33290</v>
          </cell>
          <cell r="Q390" t="str">
            <v>Nam</v>
          </cell>
          <cell r="S390" t="str">
            <v>VN</v>
          </cell>
          <cell r="AL390" t="str">
            <v>Thành phố Đà Nẵng</v>
          </cell>
        </row>
        <row r="391">
          <cell r="C391" t="str">
            <v>8363734400</v>
          </cell>
          <cell r="F391" t="str">
            <v>Vũ Minh Quang</v>
          </cell>
          <cell r="N391">
            <v>32462</v>
          </cell>
          <cell r="Q391" t="str">
            <v>Nam</v>
          </cell>
          <cell r="S391" t="str">
            <v>VN</v>
          </cell>
          <cell r="AL391" t="str">
            <v>Thành phố Hà Nội</v>
          </cell>
        </row>
        <row r="392">
          <cell r="C392" t="str">
            <v>8364672806</v>
          </cell>
          <cell r="F392" t="str">
            <v>Đỗ Văn Thái</v>
          </cell>
          <cell r="N392">
            <v>32727</v>
          </cell>
          <cell r="Q392" t="str">
            <v>Nam</v>
          </cell>
          <cell r="S392" t="str">
            <v>VN</v>
          </cell>
          <cell r="AL392" t="str">
            <v>Thành phố Hà Nội</v>
          </cell>
        </row>
        <row r="393">
          <cell r="C393" t="str">
            <v>8365296840</v>
          </cell>
          <cell r="F393" t="str">
            <v>Nguyễn Thị Bảo Châu</v>
          </cell>
          <cell r="N393">
            <v>36282</v>
          </cell>
          <cell r="Q393" t="str">
            <v>Nữ</v>
          </cell>
          <cell r="S393" t="str">
            <v>VN</v>
          </cell>
          <cell r="AL393" t="str">
            <v>Thành phố Hồ Chí Minh</v>
          </cell>
        </row>
        <row r="394">
          <cell r="C394" t="str">
            <v>8365612623</v>
          </cell>
          <cell r="F394" t="str">
            <v>Trần Ngọc Thuận</v>
          </cell>
          <cell r="N394">
            <v>33589</v>
          </cell>
          <cell r="Q394" t="str">
            <v>Nam</v>
          </cell>
          <cell r="S394" t="str">
            <v>VN</v>
          </cell>
          <cell r="AL394" t="str">
            <v>Thành phố Hà Nội</v>
          </cell>
        </row>
        <row r="395">
          <cell r="C395" t="str">
            <v>8365858024</v>
          </cell>
          <cell r="F395" t="str">
            <v>Nguyễn Quang Duy</v>
          </cell>
          <cell r="N395">
            <v>33495</v>
          </cell>
          <cell r="Q395" t="str">
            <v>Nam</v>
          </cell>
          <cell r="S395" t="str">
            <v>VN</v>
          </cell>
          <cell r="AL395" t="str">
            <v>Thành phố Hà Nội</v>
          </cell>
        </row>
        <row r="396">
          <cell r="C396" t="str">
            <v>8367468189</v>
          </cell>
          <cell r="F396" t="str">
            <v>Nguyễn Minh Tùng</v>
          </cell>
          <cell r="N396">
            <v>28909</v>
          </cell>
          <cell r="Q396" t="str">
            <v>Nam</v>
          </cell>
          <cell r="S396" t="str">
            <v>VN</v>
          </cell>
          <cell r="AL396" t="str">
            <v>Thành phố Hà Nội</v>
          </cell>
        </row>
        <row r="397">
          <cell r="C397" t="str">
            <v>8369839657</v>
          </cell>
          <cell r="F397" t="str">
            <v>Mai Hạnh Thư</v>
          </cell>
          <cell r="N397">
            <v>33140</v>
          </cell>
          <cell r="Q397" t="str">
            <v>Nữ</v>
          </cell>
          <cell r="S397" t="str">
            <v>VN</v>
          </cell>
          <cell r="AL397" t="str">
            <v>Thành phố Hồ Chí Minh</v>
          </cell>
        </row>
        <row r="398">
          <cell r="C398" t="str">
            <v>8370212331</v>
          </cell>
          <cell r="F398" t="str">
            <v>Đặng Bá Quốc Hưng</v>
          </cell>
          <cell r="N398">
            <v>35667</v>
          </cell>
          <cell r="Q398" t="str">
            <v>Nam</v>
          </cell>
          <cell r="S398" t="str">
            <v>VN</v>
          </cell>
          <cell r="AL398" t="str">
            <v>Thành phố Hồ Chí Minh</v>
          </cell>
        </row>
        <row r="399">
          <cell r="C399" t="str">
            <v>8370610678</v>
          </cell>
          <cell r="F399" t="str">
            <v>Lương Hữu Thịnh</v>
          </cell>
          <cell r="N399">
            <v>34050</v>
          </cell>
          <cell r="Q399" t="str">
            <v>Nam</v>
          </cell>
          <cell r="S399" t="str">
            <v>VN</v>
          </cell>
          <cell r="AL399" t="str">
            <v>Thành phố Cần Thơ</v>
          </cell>
        </row>
        <row r="400">
          <cell r="C400" t="str">
            <v>8370656062</v>
          </cell>
          <cell r="F400" t="str">
            <v>Nguyễn Thị Trúc Phương</v>
          </cell>
          <cell r="N400">
            <v>33100</v>
          </cell>
          <cell r="Q400" t="str">
            <v>Nữ</v>
          </cell>
          <cell r="S400" t="str">
            <v>VN</v>
          </cell>
          <cell r="AL400" t="str">
            <v>Thành phố Hồ Chí Minh</v>
          </cell>
        </row>
        <row r="401">
          <cell r="C401" t="str">
            <v>8371935213</v>
          </cell>
          <cell r="F401" t="str">
            <v>Phạm Thuỳ Linh</v>
          </cell>
          <cell r="N401">
            <v>34318</v>
          </cell>
          <cell r="Q401" t="str">
            <v>Nữ</v>
          </cell>
          <cell r="S401" t="str">
            <v>VN</v>
          </cell>
          <cell r="AL401" t="str">
            <v>Thành phố Hà Nội</v>
          </cell>
        </row>
        <row r="402">
          <cell r="C402" t="str">
            <v>8372671066</v>
          </cell>
          <cell r="F402" t="str">
            <v>Nguyễn Thị Hồng Thơm</v>
          </cell>
          <cell r="N402">
            <v>33646</v>
          </cell>
          <cell r="Q402" t="str">
            <v>Nữ</v>
          </cell>
          <cell r="S402" t="str">
            <v>VN</v>
          </cell>
          <cell r="AL402" t="str">
            <v>Thành phố Hà Nội</v>
          </cell>
        </row>
        <row r="403">
          <cell r="C403" t="str">
            <v>8374141258</v>
          </cell>
          <cell r="F403" t="str">
            <v>Đào Thị Quỳnh Ngọc</v>
          </cell>
          <cell r="N403">
            <v>34104</v>
          </cell>
          <cell r="Q403" t="str">
            <v>Nữ</v>
          </cell>
          <cell r="S403" t="str">
            <v>VN</v>
          </cell>
          <cell r="AL403" t="str">
            <v>Thành phố Hồ Chí Minh</v>
          </cell>
        </row>
        <row r="404">
          <cell r="C404" t="str">
            <v>8374141378</v>
          </cell>
          <cell r="F404" t="str">
            <v>Trần Hữu Nghị</v>
          </cell>
          <cell r="N404">
            <v>32623</v>
          </cell>
          <cell r="Q404" t="str">
            <v>Nam</v>
          </cell>
          <cell r="S404" t="str">
            <v>VN</v>
          </cell>
          <cell r="AL404" t="str">
            <v>Thành phố Hồ Chí Minh</v>
          </cell>
        </row>
        <row r="405">
          <cell r="C405" t="str">
            <v>8374141547</v>
          </cell>
          <cell r="F405" t="str">
            <v>Doãn Đức Hoàng</v>
          </cell>
          <cell r="N405">
            <v>32518</v>
          </cell>
          <cell r="Q405" t="str">
            <v>Nam</v>
          </cell>
          <cell r="S405" t="str">
            <v>VN</v>
          </cell>
          <cell r="AL405" t="str">
            <v>Thành phố Hồ Chí Minh</v>
          </cell>
        </row>
        <row r="406">
          <cell r="C406" t="str">
            <v>8374217186</v>
          </cell>
          <cell r="F406" t="str">
            <v>Mai Thị Hường</v>
          </cell>
          <cell r="N406">
            <v>33343</v>
          </cell>
          <cell r="Q406" t="str">
            <v>Nữ</v>
          </cell>
          <cell r="S406" t="str">
            <v>VN</v>
          </cell>
          <cell r="AL406" t="str">
            <v>Thành phố Hồ Chí Minh</v>
          </cell>
        </row>
        <row r="407">
          <cell r="C407" t="str">
            <v>8374285757</v>
          </cell>
          <cell r="F407" t="str">
            <v>Lê Ngọc Hà</v>
          </cell>
          <cell r="N407">
            <v>31271</v>
          </cell>
          <cell r="Q407" t="str">
            <v>Nam</v>
          </cell>
          <cell r="S407" t="str">
            <v>VN</v>
          </cell>
          <cell r="AL407" t="str">
            <v>Thành phố Hà Nội</v>
          </cell>
        </row>
        <row r="408">
          <cell r="C408" t="str">
            <v>8374769878</v>
          </cell>
          <cell r="F408" t="str">
            <v>Nguyễn Văn Đam</v>
          </cell>
          <cell r="N408">
            <v>33310</v>
          </cell>
          <cell r="Q408" t="str">
            <v>Nam</v>
          </cell>
          <cell r="S408" t="str">
            <v>VN</v>
          </cell>
          <cell r="AL408" t="str">
            <v>Thành phố Hà Nội</v>
          </cell>
        </row>
        <row r="409">
          <cell r="C409" t="str">
            <v>8376557660</v>
          </cell>
          <cell r="F409" t="str">
            <v>Trịnh Văn Đông</v>
          </cell>
          <cell r="N409">
            <v>32418</v>
          </cell>
          <cell r="Q409" t="str">
            <v>Nam</v>
          </cell>
          <cell r="S409" t="str">
            <v>VN</v>
          </cell>
          <cell r="AL409" t="str">
            <v>Thành phố Hà Nội</v>
          </cell>
        </row>
        <row r="410">
          <cell r="C410" t="str">
            <v>8376933040</v>
          </cell>
          <cell r="F410" t="str">
            <v>Nguyễn Thị Minh Huyền</v>
          </cell>
          <cell r="N410">
            <v>34980</v>
          </cell>
          <cell r="Q410" t="str">
            <v>Nữ</v>
          </cell>
          <cell r="S410" t="str">
            <v>VN</v>
          </cell>
          <cell r="AL410" t="str">
            <v>Thành phố Hà Nội</v>
          </cell>
        </row>
        <row r="411">
          <cell r="C411" t="str">
            <v>8380221261</v>
          </cell>
          <cell r="F411" t="str">
            <v>Nguyễn Phương Tín</v>
          </cell>
          <cell r="N411">
            <v>34138</v>
          </cell>
          <cell r="Q411" t="str">
            <v>Nam</v>
          </cell>
          <cell r="S411" t="str">
            <v>VN</v>
          </cell>
          <cell r="AL411" t="str">
            <v>Thành phố Hồ Chí Minh</v>
          </cell>
        </row>
        <row r="412">
          <cell r="C412" t="str">
            <v>8380776224</v>
          </cell>
          <cell r="F412" t="str">
            <v>Nguyễn Hoàng Trung</v>
          </cell>
          <cell r="N412">
            <v>34854</v>
          </cell>
          <cell r="Q412" t="str">
            <v>Nam</v>
          </cell>
          <cell r="S412" t="str">
            <v>VN</v>
          </cell>
          <cell r="AL412" t="str">
            <v>Thành phố Đà Nẵng</v>
          </cell>
        </row>
        <row r="413">
          <cell r="C413" t="str">
            <v>8381490933</v>
          </cell>
          <cell r="F413" t="str">
            <v>Nguyễn Phong Phú</v>
          </cell>
          <cell r="N413">
            <v>34668</v>
          </cell>
          <cell r="Q413" t="str">
            <v>Nam</v>
          </cell>
          <cell r="S413" t="str">
            <v>VN</v>
          </cell>
          <cell r="AL413" t="str">
            <v>Thành phố Hồ Chí Minh</v>
          </cell>
        </row>
        <row r="414">
          <cell r="C414" t="str">
            <v>8382485598</v>
          </cell>
          <cell r="F414" t="str">
            <v>Từ Quang Vinh</v>
          </cell>
          <cell r="N414">
            <v>33809</v>
          </cell>
          <cell r="Q414" t="str">
            <v>Nam</v>
          </cell>
          <cell r="S414" t="str">
            <v>VN</v>
          </cell>
          <cell r="AL414" t="str">
            <v>Thành phố Hồ Chí Minh</v>
          </cell>
        </row>
        <row r="415">
          <cell r="C415" t="str">
            <v>8383032826</v>
          </cell>
          <cell r="F415" t="str">
            <v>Bùi Thị Minh Tâm</v>
          </cell>
          <cell r="N415">
            <v>34869</v>
          </cell>
          <cell r="Q415" t="str">
            <v>Nữ</v>
          </cell>
          <cell r="S415" t="str">
            <v>VN</v>
          </cell>
          <cell r="AL415" t="str">
            <v>Thành phố Hồ Chí Minh</v>
          </cell>
        </row>
        <row r="416">
          <cell r="C416" t="str">
            <v>8384404900</v>
          </cell>
          <cell r="F416" t="str">
            <v>Hoa Anh Tuấn</v>
          </cell>
          <cell r="N416">
            <v>35043</v>
          </cell>
          <cell r="Q416" t="str">
            <v>Nam</v>
          </cell>
          <cell r="S416" t="str">
            <v>VN</v>
          </cell>
          <cell r="AL416" t="str">
            <v>Thành phố Hà Nội</v>
          </cell>
        </row>
        <row r="417">
          <cell r="C417" t="str">
            <v>8385728400</v>
          </cell>
          <cell r="F417" t="str">
            <v>Lê Chí Bảo</v>
          </cell>
          <cell r="N417">
            <v>36031</v>
          </cell>
          <cell r="Q417" t="str">
            <v>Nam</v>
          </cell>
          <cell r="S417" t="str">
            <v>VN</v>
          </cell>
          <cell r="AL417" t="str">
            <v>Thành phố Hà Nội</v>
          </cell>
        </row>
        <row r="418">
          <cell r="C418" t="str">
            <v>8387345273</v>
          </cell>
          <cell r="F418" t="str">
            <v>Hoàng Quang Trường</v>
          </cell>
          <cell r="N418">
            <v>34952</v>
          </cell>
          <cell r="Q418" t="str">
            <v>Nam</v>
          </cell>
          <cell r="S418" t="str">
            <v>VN</v>
          </cell>
          <cell r="AL418" t="str">
            <v>Thành phố Hà Nội</v>
          </cell>
        </row>
        <row r="419">
          <cell r="C419" t="str">
            <v>8388335535</v>
          </cell>
          <cell r="F419" t="str">
            <v>Phan Thu Huyền</v>
          </cell>
          <cell r="N419">
            <v>36034</v>
          </cell>
          <cell r="Q419" t="str">
            <v>Nữ</v>
          </cell>
          <cell r="S419" t="str">
            <v>VN</v>
          </cell>
          <cell r="AL419" t="str">
            <v>Thành phố Hà Nội</v>
          </cell>
        </row>
        <row r="420">
          <cell r="C420" t="str">
            <v>8390562447</v>
          </cell>
          <cell r="F420" t="str">
            <v>Phạm Phương Dung</v>
          </cell>
          <cell r="N420">
            <v>36056</v>
          </cell>
          <cell r="Q420" t="str">
            <v>Nữ</v>
          </cell>
          <cell r="S420" t="str">
            <v>VN</v>
          </cell>
          <cell r="AL420" t="str">
            <v>Thành phố Hà Nội</v>
          </cell>
        </row>
        <row r="421">
          <cell r="C421" t="str">
            <v>8391419143</v>
          </cell>
          <cell r="F421" t="str">
            <v>Nguyễn Thị Thanh Hà</v>
          </cell>
          <cell r="N421">
            <v>28986</v>
          </cell>
          <cell r="Q421" t="str">
            <v>Nữ</v>
          </cell>
          <cell r="S421" t="str">
            <v>VN</v>
          </cell>
          <cell r="AL421" t="str">
            <v>Thành phố Hà Nội</v>
          </cell>
        </row>
        <row r="422">
          <cell r="C422" t="str">
            <v>8392976517</v>
          </cell>
          <cell r="F422" t="str">
            <v>Võ Xuân Nguyễn</v>
          </cell>
          <cell r="N422">
            <v>35475</v>
          </cell>
          <cell r="Q422" t="str">
            <v>Nam</v>
          </cell>
          <cell r="S422" t="str">
            <v>VN</v>
          </cell>
          <cell r="AL422" t="str">
            <v>Tỉnh Khánh Hòa</v>
          </cell>
        </row>
        <row r="423">
          <cell r="C423" t="str">
            <v>8395864138</v>
          </cell>
          <cell r="F423" t="str">
            <v>Phạm Thị Thanh Hiền</v>
          </cell>
          <cell r="N423">
            <v>34262</v>
          </cell>
          <cell r="Q423" t="str">
            <v>Nữ</v>
          </cell>
          <cell r="S423" t="str">
            <v>VN</v>
          </cell>
          <cell r="AL423" t="str">
            <v>Thành phố Hà Nội</v>
          </cell>
        </row>
        <row r="424">
          <cell r="C424" t="str">
            <v>8397611421</v>
          </cell>
          <cell r="F424" t="str">
            <v>Lê Diệu Linh</v>
          </cell>
          <cell r="N424">
            <v>36057</v>
          </cell>
          <cell r="Q424" t="str">
            <v>Nữ</v>
          </cell>
          <cell r="S424" t="str">
            <v>VN</v>
          </cell>
          <cell r="AL424" t="str">
            <v>Thành phố Hà Nội</v>
          </cell>
        </row>
        <row r="425">
          <cell r="C425" t="str">
            <v>8400417674</v>
          </cell>
          <cell r="F425" t="str">
            <v>Lê Duy Hùng</v>
          </cell>
          <cell r="N425">
            <v>35311</v>
          </cell>
          <cell r="Q425" t="str">
            <v>Nam</v>
          </cell>
          <cell r="S425" t="str">
            <v>VN</v>
          </cell>
          <cell r="AL425" t="str">
            <v>Thành phố Hà Nội</v>
          </cell>
        </row>
        <row r="426">
          <cell r="C426" t="str">
            <v>8404192830</v>
          </cell>
          <cell r="F426" t="str">
            <v>Trần Minh Luân</v>
          </cell>
          <cell r="N426">
            <v>33247</v>
          </cell>
          <cell r="Q426" t="str">
            <v>Nam</v>
          </cell>
          <cell r="S426" t="str">
            <v>VN</v>
          </cell>
          <cell r="AL426" t="str">
            <v>Thành phố Hồ Chí Minh</v>
          </cell>
        </row>
        <row r="427">
          <cell r="C427" t="str">
            <v>8404192862</v>
          </cell>
          <cell r="F427" t="str">
            <v>Nguyễn Minh Duy</v>
          </cell>
          <cell r="N427">
            <v>34234</v>
          </cell>
          <cell r="Q427" t="str">
            <v>Nam</v>
          </cell>
          <cell r="S427" t="str">
            <v>VN</v>
          </cell>
          <cell r="AL427" t="str">
            <v>Thành phố Hồ Chí Minh</v>
          </cell>
        </row>
        <row r="428">
          <cell r="C428" t="str">
            <v>8404192904</v>
          </cell>
          <cell r="F428" t="str">
            <v>Phạm Thị Hồng Đào</v>
          </cell>
          <cell r="N428">
            <v>33571</v>
          </cell>
          <cell r="Q428" t="str">
            <v>Nữ</v>
          </cell>
          <cell r="S428" t="str">
            <v>VN</v>
          </cell>
          <cell r="AL428" t="str">
            <v>Thành phố Hồ Chí Minh</v>
          </cell>
        </row>
        <row r="429">
          <cell r="C429" t="str">
            <v>8405022775</v>
          </cell>
          <cell r="F429" t="str">
            <v>Phạm Yến Linh</v>
          </cell>
          <cell r="N429">
            <v>34700</v>
          </cell>
          <cell r="Q429" t="str">
            <v>Nữ</v>
          </cell>
          <cell r="S429" t="str">
            <v>VN</v>
          </cell>
          <cell r="AL429" t="str">
            <v>Thành phố Hà Nội</v>
          </cell>
        </row>
        <row r="430">
          <cell r="C430" t="str">
            <v>8411317625</v>
          </cell>
          <cell r="F430" t="str">
            <v>Nguyễn Đức Ngọc</v>
          </cell>
          <cell r="N430">
            <v>34216</v>
          </cell>
          <cell r="Q430" t="str">
            <v>Nam</v>
          </cell>
          <cell r="S430" t="str">
            <v>VN</v>
          </cell>
          <cell r="AL430" t="str">
            <v>Thành phố Hà Nội</v>
          </cell>
        </row>
        <row r="431">
          <cell r="C431" t="str">
            <v>8411845248</v>
          </cell>
          <cell r="F431" t="str">
            <v>Trần Tuấn Dũng</v>
          </cell>
          <cell r="N431">
            <v>33725</v>
          </cell>
          <cell r="Q431" t="str">
            <v>Nam</v>
          </cell>
          <cell r="S431" t="str">
            <v>VN</v>
          </cell>
          <cell r="AL431" t="str">
            <v>Thành phố Hồ Chí Minh</v>
          </cell>
        </row>
        <row r="432">
          <cell r="C432" t="str">
            <v>8413464086</v>
          </cell>
          <cell r="F432" t="str">
            <v>Nguyễn Thị Thanh Thảo</v>
          </cell>
          <cell r="N432">
            <v>34223</v>
          </cell>
          <cell r="Q432" t="str">
            <v>Nữ</v>
          </cell>
          <cell r="S432" t="str">
            <v>VN</v>
          </cell>
          <cell r="AL432" t="str">
            <v>Thành phố Hồ Chí Minh</v>
          </cell>
        </row>
        <row r="433">
          <cell r="C433" t="str">
            <v>8413516231</v>
          </cell>
          <cell r="F433" t="str">
            <v>Lê Thanh Hương</v>
          </cell>
          <cell r="N433">
            <v>33421</v>
          </cell>
          <cell r="Q433" t="str">
            <v>Nữ</v>
          </cell>
          <cell r="S433" t="str">
            <v>VN</v>
          </cell>
          <cell r="AL433" t="str">
            <v>Thành phố Hà Nội</v>
          </cell>
        </row>
        <row r="434">
          <cell r="C434" t="str">
            <v>8413574963</v>
          </cell>
          <cell r="F434" t="str">
            <v>Nguyễn Thị Thúy</v>
          </cell>
          <cell r="N434">
            <v>33436</v>
          </cell>
          <cell r="Q434" t="str">
            <v>Nữ</v>
          </cell>
          <cell r="S434" t="str">
            <v>VN</v>
          </cell>
          <cell r="AL434" t="str">
            <v>Thành phố Hà Nội</v>
          </cell>
        </row>
        <row r="435">
          <cell r="C435" t="str">
            <v>8413864493</v>
          </cell>
          <cell r="F435" t="str">
            <v>Nguyễn Minh Kha</v>
          </cell>
          <cell r="N435">
            <v>34190</v>
          </cell>
          <cell r="Q435" t="str">
            <v>Nam</v>
          </cell>
          <cell r="S435" t="str">
            <v>VN</v>
          </cell>
          <cell r="AL435" t="str">
            <v>Thành phố Hồ Chí Minh</v>
          </cell>
        </row>
        <row r="436">
          <cell r="C436" t="str">
            <v>8414586513</v>
          </cell>
          <cell r="F436" t="str">
            <v>Dư Thị Phượng</v>
          </cell>
          <cell r="N436">
            <v>34350</v>
          </cell>
          <cell r="Q436" t="str">
            <v>Nữ</v>
          </cell>
          <cell r="S436" t="str">
            <v>VN</v>
          </cell>
          <cell r="AL436" t="str">
            <v>Thành phố Hà Nội</v>
          </cell>
        </row>
        <row r="437">
          <cell r="C437" t="str">
            <v>8415365933</v>
          </cell>
          <cell r="F437" t="str">
            <v>Chu Đình Hải</v>
          </cell>
          <cell r="N437">
            <v>34420</v>
          </cell>
          <cell r="Q437" t="str">
            <v>Nam</v>
          </cell>
          <cell r="S437" t="str">
            <v>VN</v>
          </cell>
          <cell r="AL437" t="str">
            <v>Thành phố Hà Nội</v>
          </cell>
        </row>
        <row r="438">
          <cell r="C438" t="str">
            <v>8416090696</v>
          </cell>
          <cell r="F438" t="str">
            <v>Nguyễn Trí Tài</v>
          </cell>
          <cell r="N438">
            <v>34809</v>
          </cell>
          <cell r="Q438" t="str">
            <v>Nam</v>
          </cell>
          <cell r="S438" t="str">
            <v>VN</v>
          </cell>
          <cell r="AL438" t="str">
            <v>Thành phố Hồ Chí Minh</v>
          </cell>
        </row>
        <row r="439">
          <cell r="C439" t="str">
            <v>8416242204</v>
          </cell>
          <cell r="F439" t="str">
            <v>Nguyễn Doãn Hùng</v>
          </cell>
          <cell r="N439">
            <v>33529</v>
          </cell>
          <cell r="Q439" t="str">
            <v>Nam</v>
          </cell>
          <cell r="S439" t="str">
            <v>VN</v>
          </cell>
          <cell r="AL439" t="str">
            <v>Thành phố Hà Nội</v>
          </cell>
        </row>
        <row r="440">
          <cell r="C440" t="str">
            <v>8418189210</v>
          </cell>
          <cell r="F440" t="str">
            <v>Phạm Thị Vân Anh</v>
          </cell>
          <cell r="N440">
            <v>36533</v>
          </cell>
          <cell r="Q440" t="str">
            <v>Nữ</v>
          </cell>
          <cell r="S440" t="str">
            <v>VN</v>
          </cell>
          <cell r="AL440" t="str">
            <v>Thành phố Hà Nội</v>
          </cell>
        </row>
        <row r="441">
          <cell r="C441" t="str">
            <v>8421275967</v>
          </cell>
          <cell r="F441" t="str">
            <v>Đỗ Nguyễn Tâm Anh</v>
          </cell>
          <cell r="N441">
            <v>34910</v>
          </cell>
          <cell r="Q441" t="str">
            <v>Nữ</v>
          </cell>
          <cell r="S441" t="str">
            <v>VN</v>
          </cell>
          <cell r="AL441" t="str">
            <v>Thành phố Hồ Chí Minh</v>
          </cell>
        </row>
        <row r="442">
          <cell r="C442" t="str">
            <v>8425120636</v>
          </cell>
          <cell r="F442" t="str">
            <v>Phạm Đặng Trung Nghĩa</v>
          </cell>
          <cell r="N442">
            <v>34731</v>
          </cell>
          <cell r="Q442" t="str">
            <v>Nam</v>
          </cell>
          <cell r="S442" t="str">
            <v>VN</v>
          </cell>
          <cell r="AL442" t="str">
            <v>Thành phố Hồ Chí Minh</v>
          </cell>
        </row>
        <row r="443">
          <cell r="C443" t="str">
            <v>8425234915</v>
          </cell>
          <cell r="F443" t="str">
            <v>Dương Thị Tiến Đạt</v>
          </cell>
          <cell r="N443">
            <v>33794</v>
          </cell>
          <cell r="Q443" t="str">
            <v>Nữ</v>
          </cell>
          <cell r="S443" t="str">
            <v>VN</v>
          </cell>
          <cell r="AL443" t="str">
            <v>Thành phố Hà Nội</v>
          </cell>
        </row>
        <row r="444">
          <cell r="C444" t="str">
            <v>8426563750</v>
          </cell>
          <cell r="F444" t="str">
            <v>Võ Duy Tân</v>
          </cell>
          <cell r="N444">
            <v>35482</v>
          </cell>
          <cell r="Q444" t="str">
            <v>Nam</v>
          </cell>
          <cell r="S444" t="str">
            <v>VN</v>
          </cell>
          <cell r="AL444" t="str">
            <v>Thành phố Hồ Chí Minh</v>
          </cell>
        </row>
        <row r="445">
          <cell r="C445" t="str">
            <v>8426956617</v>
          </cell>
          <cell r="F445" t="str">
            <v>Nguyễn Thị Thịnh</v>
          </cell>
          <cell r="N445">
            <v>33825</v>
          </cell>
          <cell r="Q445" t="str">
            <v>Nữ</v>
          </cell>
          <cell r="S445" t="str">
            <v>VN</v>
          </cell>
          <cell r="AL445" t="str">
            <v>Thành phố Hà Nội</v>
          </cell>
        </row>
        <row r="446">
          <cell r="C446" t="str">
            <v>8427559644</v>
          </cell>
          <cell r="F446" t="str">
            <v>Nguyễn Duy Phương</v>
          </cell>
          <cell r="N446">
            <v>34200</v>
          </cell>
          <cell r="Q446" t="str">
            <v>Nam</v>
          </cell>
          <cell r="S446" t="str">
            <v>VN</v>
          </cell>
          <cell r="AL446" t="str">
            <v>Thành phố Hà Nội</v>
          </cell>
        </row>
        <row r="447">
          <cell r="C447" t="str">
            <v>8427985561</v>
          </cell>
          <cell r="F447" t="str">
            <v>Thái Vũ Thịnh</v>
          </cell>
          <cell r="N447">
            <v>34692</v>
          </cell>
          <cell r="Q447" t="str">
            <v>Nam</v>
          </cell>
          <cell r="S447" t="str">
            <v>VN</v>
          </cell>
          <cell r="AL447" t="str">
            <v>Thành phố Hồ Chí Minh</v>
          </cell>
        </row>
        <row r="448">
          <cell r="C448" t="str">
            <v>8430578781</v>
          </cell>
          <cell r="F448" t="str">
            <v>Lê Thùy Linh</v>
          </cell>
          <cell r="N448">
            <v>33109</v>
          </cell>
          <cell r="Q448" t="str">
            <v>Nữ</v>
          </cell>
          <cell r="S448" t="str">
            <v>VN</v>
          </cell>
          <cell r="AL448" t="str">
            <v>Thành phố Hồ Chí Minh</v>
          </cell>
        </row>
        <row r="449">
          <cell r="C449" t="str">
            <v>8432548574</v>
          </cell>
          <cell r="F449" t="str">
            <v>Nguyễn Thị Hải Yến</v>
          </cell>
          <cell r="N449">
            <v>34369</v>
          </cell>
          <cell r="Q449" t="str">
            <v>Nữ</v>
          </cell>
          <cell r="S449" t="str">
            <v>VN</v>
          </cell>
          <cell r="AL449" t="str">
            <v>Thành phố Hồ Chí Minh</v>
          </cell>
        </row>
        <row r="450">
          <cell r="C450" t="str">
            <v>8432597243</v>
          </cell>
          <cell r="F450" t="str">
            <v>Phạm Văn Tú</v>
          </cell>
          <cell r="N450">
            <v>33502</v>
          </cell>
          <cell r="Q450" t="str">
            <v>Nam</v>
          </cell>
          <cell r="S450" t="str">
            <v>VN</v>
          </cell>
          <cell r="AL450" t="str">
            <v>Thành phố Đà Nẵng</v>
          </cell>
        </row>
        <row r="451">
          <cell r="C451" t="str">
            <v>8433674229</v>
          </cell>
          <cell r="F451" t="str">
            <v>Mai Phương Hồng</v>
          </cell>
          <cell r="N451">
            <v>32297</v>
          </cell>
          <cell r="Q451" t="str">
            <v>Nữ</v>
          </cell>
          <cell r="S451" t="str">
            <v>VN</v>
          </cell>
          <cell r="AL451" t="str">
            <v>Thành phố Hồ Chí Minh</v>
          </cell>
        </row>
        <row r="452">
          <cell r="C452" t="str">
            <v>8435920254</v>
          </cell>
          <cell r="F452" t="str">
            <v>La Bảo Trâm</v>
          </cell>
          <cell r="N452">
            <v>33998</v>
          </cell>
          <cell r="Q452" t="str">
            <v>Nữ</v>
          </cell>
          <cell r="S452" t="str">
            <v>VN</v>
          </cell>
          <cell r="AL452" t="str">
            <v>Thành phố Hồ Chí Minh</v>
          </cell>
        </row>
        <row r="453">
          <cell r="C453" t="str">
            <v>8436635394</v>
          </cell>
          <cell r="F453" t="str">
            <v>Trịnh Đăng Linh</v>
          </cell>
          <cell r="N453">
            <v>35407</v>
          </cell>
          <cell r="Q453" t="str">
            <v>Nam</v>
          </cell>
          <cell r="S453" t="str">
            <v>VN</v>
          </cell>
          <cell r="AL453" t="str">
            <v>Thành phố Hà Nội</v>
          </cell>
        </row>
        <row r="454">
          <cell r="C454" t="str">
            <v>8439768642</v>
          </cell>
          <cell r="F454" t="str">
            <v>Dư Quốc Huy</v>
          </cell>
          <cell r="N454">
            <v>35141</v>
          </cell>
          <cell r="Q454" t="str">
            <v>Nam</v>
          </cell>
          <cell r="S454" t="str">
            <v>VN</v>
          </cell>
          <cell r="AL454" t="str">
            <v>Thành phố Hà Nội</v>
          </cell>
        </row>
        <row r="455">
          <cell r="C455" t="str">
            <v>8440004271</v>
          </cell>
          <cell r="F455" t="str">
            <v>Đỗ Thị Tuyết</v>
          </cell>
          <cell r="N455">
            <v>34710</v>
          </cell>
          <cell r="Q455" t="str">
            <v>Nữ</v>
          </cell>
          <cell r="S455" t="str">
            <v>VN</v>
          </cell>
          <cell r="AL455" t="str">
            <v>Thành phố Hà Nội</v>
          </cell>
        </row>
        <row r="456">
          <cell r="C456" t="str">
            <v>8440958983</v>
          </cell>
          <cell r="F456" t="str">
            <v>Phạm Huỳnh Thanh Thiện</v>
          </cell>
          <cell r="N456">
            <v>34395</v>
          </cell>
          <cell r="Q456" t="str">
            <v>Nam</v>
          </cell>
          <cell r="S456" t="str">
            <v>VN</v>
          </cell>
          <cell r="AL456" t="str">
            <v>Thành phố Đà Nẵng</v>
          </cell>
        </row>
        <row r="457">
          <cell r="C457" t="str">
            <v>8441183143</v>
          </cell>
          <cell r="F457" t="str">
            <v>Nguyễn Văn Điệu</v>
          </cell>
          <cell r="N457">
            <v>34474</v>
          </cell>
          <cell r="Q457" t="str">
            <v>Nam</v>
          </cell>
          <cell r="S457" t="str">
            <v>VN</v>
          </cell>
          <cell r="AL457" t="str">
            <v>Thành phố Hồ Chí Minh</v>
          </cell>
        </row>
        <row r="458">
          <cell r="C458" t="str">
            <v>8442598510</v>
          </cell>
          <cell r="F458" t="str">
            <v>Mai Thị Thuỳ Dinh</v>
          </cell>
          <cell r="N458">
            <v>35407</v>
          </cell>
          <cell r="Q458" t="str">
            <v>Nữ</v>
          </cell>
          <cell r="S458" t="str">
            <v>VN</v>
          </cell>
          <cell r="AL458" t="str">
            <v>Thành phố Hà Nội</v>
          </cell>
        </row>
        <row r="459">
          <cell r="C459" t="str">
            <v>8442888026</v>
          </cell>
          <cell r="F459" t="str">
            <v>Trần Vân Ánh</v>
          </cell>
          <cell r="N459">
            <v>33922</v>
          </cell>
          <cell r="Q459" t="str">
            <v>Nữ</v>
          </cell>
          <cell r="S459" t="str">
            <v>VN</v>
          </cell>
          <cell r="AL459" t="str">
            <v>Thành phố Hà Nội</v>
          </cell>
        </row>
        <row r="460">
          <cell r="C460" t="str">
            <v>8442917742</v>
          </cell>
          <cell r="F460" t="str">
            <v>Vũ Quang Anh</v>
          </cell>
          <cell r="N460">
            <v>34865</v>
          </cell>
          <cell r="Q460" t="str">
            <v>Nam</v>
          </cell>
          <cell r="S460" t="str">
            <v>VN</v>
          </cell>
          <cell r="AL460" t="str">
            <v>Thành phố Hồ Chí Minh</v>
          </cell>
        </row>
        <row r="461">
          <cell r="C461" t="str">
            <v>8443335465</v>
          </cell>
          <cell r="F461" t="str">
            <v>Nguyễn Minh Vương</v>
          </cell>
          <cell r="N461">
            <v>33965</v>
          </cell>
          <cell r="Q461" t="str">
            <v>Nam</v>
          </cell>
          <cell r="S461" t="str">
            <v>VN</v>
          </cell>
          <cell r="AL461" t="str">
            <v>Thành phố Hồ Chí Minh</v>
          </cell>
        </row>
        <row r="462">
          <cell r="C462" t="str">
            <v>8443816313</v>
          </cell>
          <cell r="F462" t="str">
            <v>Bùi Bích Ngọc</v>
          </cell>
          <cell r="N462">
            <v>33210</v>
          </cell>
          <cell r="Q462" t="str">
            <v>Nữ</v>
          </cell>
          <cell r="S462" t="str">
            <v>VN</v>
          </cell>
          <cell r="AL462" t="str">
            <v>Thành phố Hà Nội</v>
          </cell>
        </row>
        <row r="463">
          <cell r="C463" t="str">
            <v>8448220316</v>
          </cell>
          <cell r="F463" t="str">
            <v>Nguyễn Thị Trang</v>
          </cell>
          <cell r="N463">
            <v>34583</v>
          </cell>
          <cell r="Q463" t="str">
            <v>Nữ</v>
          </cell>
          <cell r="S463" t="str">
            <v>VN</v>
          </cell>
          <cell r="AL463" t="str">
            <v>Thành phố Hà Nội</v>
          </cell>
        </row>
        <row r="464">
          <cell r="C464" t="str">
            <v>8448877609</v>
          </cell>
          <cell r="F464" t="str">
            <v>Hoàng Trung Quốc</v>
          </cell>
          <cell r="N464">
            <v>34943</v>
          </cell>
          <cell r="Q464" t="str">
            <v>Nam</v>
          </cell>
          <cell r="S464" t="str">
            <v>VN</v>
          </cell>
          <cell r="AL464" t="str">
            <v>Thành phố Hồ Chí Minh</v>
          </cell>
        </row>
        <row r="465">
          <cell r="C465" t="str">
            <v>8449543599</v>
          </cell>
          <cell r="F465" t="str">
            <v>Đào Thị Bích Thuận</v>
          </cell>
          <cell r="N465">
            <v>33192</v>
          </cell>
          <cell r="Q465" t="str">
            <v>Nữ</v>
          </cell>
          <cell r="S465" t="str">
            <v>VN</v>
          </cell>
          <cell r="AL465" t="str">
            <v>Thành phố Hà Nội</v>
          </cell>
        </row>
        <row r="466">
          <cell r="C466" t="str">
            <v>8449986632</v>
          </cell>
          <cell r="F466" t="str">
            <v>Đặng Tuyết Lan</v>
          </cell>
          <cell r="N466">
            <v>27751</v>
          </cell>
          <cell r="Q466" t="str">
            <v>Nữ</v>
          </cell>
          <cell r="S466" t="str">
            <v>VN</v>
          </cell>
          <cell r="AL466" t="str">
            <v>Thành phố Hà Nội</v>
          </cell>
        </row>
        <row r="467">
          <cell r="C467" t="str">
            <v>8450459599</v>
          </cell>
          <cell r="F467" t="str">
            <v>Nguyễn Quốc Cường</v>
          </cell>
          <cell r="N467">
            <v>33984</v>
          </cell>
          <cell r="Q467" t="str">
            <v>Nam</v>
          </cell>
          <cell r="S467" t="str">
            <v>VN</v>
          </cell>
          <cell r="AL467" t="str">
            <v>Thành phố Hồ Chí Minh</v>
          </cell>
        </row>
        <row r="468">
          <cell r="C468" t="str">
            <v>8451367397</v>
          </cell>
          <cell r="F468" t="str">
            <v>Nguyễn Thị Hương</v>
          </cell>
          <cell r="N468">
            <v>35721</v>
          </cell>
          <cell r="Q468" t="str">
            <v>Nữ</v>
          </cell>
          <cell r="S468" t="str">
            <v>VN</v>
          </cell>
          <cell r="AL468" t="str">
            <v>Thành phố Hà Nội</v>
          </cell>
        </row>
        <row r="469">
          <cell r="C469" t="str">
            <v>8452560202</v>
          </cell>
          <cell r="F469" t="str">
            <v>Nguyễn Minh Ngọc</v>
          </cell>
          <cell r="N469">
            <v>34487</v>
          </cell>
          <cell r="Q469" t="str">
            <v>Nữ</v>
          </cell>
          <cell r="S469" t="str">
            <v>VN</v>
          </cell>
          <cell r="AL469" t="str">
            <v>Thành phố Hà Nội</v>
          </cell>
        </row>
        <row r="470">
          <cell r="C470" t="str">
            <v>8452826290</v>
          </cell>
          <cell r="F470" t="str">
            <v>Hoàng Thị Huyền Trang</v>
          </cell>
          <cell r="N470">
            <v>33496</v>
          </cell>
          <cell r="Q470" t="str">
            <v>Nữ</v>
          </cell>
          <cell r="S470" t="str">
            <v>VN</v>
          </cell>
          <cell r="AL470" t="str">
            <v>Thành phố Hồ Chí Minh</v>
          </cell>
        </row>
        <row r="471">
          <cell r="C471" t="str">
            <v>8452921723</v>
          </cell>
          <cell r="F471" t="str">
            <v>Dương Văn Tuệ</v>
          </cell>
          <cell r="N471">
            <v>34367</v>
          </cell>
          <cell r="Q471" t="str">
            <v>Nam</v>
          </cell>
          <cell r="S471" t="str">
            <v>VN</v>
          </cell>
          <cell r="AL471" t="str">
            <v>Thành phố Hà Nội</v>
          </cell>
        </row>
        <row r="472">
          <cell r="C472" t="str">
            <v>8459567969</v>
          </cell>
          <cell r="F472" t="str">
            <v>Thàm Ngọc Yến</v>
          </cell>
          <cell r="N472">
            <v>33647</v>
          </cell>
          <cell r="Q472" t="str">
            <v>Nữ</v>
          </cell>
          <cell r="S472" t="str">
            <v>VN</v>
          </cell>
          <cell r="AL472" t="str">
            <v>Thành phố Hồ Chí Minh</v>
          </cell>
        </row>
        <row r="473">
          <cell r="C473" t="str">
            <v>8460045519</v>
          </cell>
          <cell r="F473" t="str">
            <v>Huỳnh Thị Trúc Quân</v>
          </cell>
          <cell r="N473">
            <v>35501</v>
          </cell>
          <cell r="Q473" t="str">
            <v>Nữ</v>
          </cell>
          <cell r="S473" t="str">
            <v>VN</v>
          </cell>
          <cell r="AL473" t="str">
            <v>Thành phố Hồ Chí Minh</v>
          </cell>
        </row>
        <row r="474">
          <cell r="C474" t="str">
            <v>8466109247</v>
          </cell>
          <cell r="F474" t="str">
            <v>Hoàng Mạnh Quân</v>
          </cell>
          <cell r="N474">
            <v>35103</v>
          </cell>
          <cell r="Q474" t="str">
            <v>Nam</v>
          </cell>
          <cell r="S474" t="str">
            <v>VN</v>
          </cell>
          <cell r="AL474" t="str">
            <v>Thành phố Hà Nội</v>
          </cell>
        </row>
        <row r="475">
          <cell r="C475" t="str">
            <v>8467405898</v>
          </cell>
          <cell r="F475" t="str">
            <v>Lê Thị Chinh</v>
          </cell>
          <cell r="N475">
            <v>34482</v>
          </cell>
          <cell r="Q475" t="str">
            <v>Nữ</v>
          </cell>
          <cell r="S475" t="str">
            <v>VN</v>
          </cell>
          <cell r="AL475" t="str">
            <v>Thành phố Hà Nội</v>
          </cell>
        </row>
        <row r="476">
          <cell r="C476" t="str">
            <v>8467405908</v>
          </cell>
          <cell r="F476" t="str">
            <v>Lê Huy Cương</v>
          </cell>
          <cell r="N476">
            <v>33046</v>
          </cell>
          <cell r="Q476" t="str">
            <v>Nam</v>
          </cell>
          <cell r="S476" t="str">
            <v>VN</v>
          </cell>
          <cell r="AL476" t="str">
            <v>Thành phố Hà Nội</v>
          </cell>
        </row>
        <row r="477">
          <cell r="C477" t="str">
            <v>8467405915</v>
          </cell>
          <cell r="F477" t="str">
            <v>Nguyễn Văn Thắng</v>
          </cell>
          <cell r="N477">
            <v>31895</v>
          </cell>
          <cell r="Q477" t="str">
            <v>Nam</v>
          </cell>
          <cell r="S477" t="str">
            <v>VN</v>
          </cell>
          <cell r="AL477" t="str">
            <v>Thành phố Hà Nội</v>
          </cell>
        </row>
        <row r="478">
          <cell r="C478" t="str">
            <v>8467405922</v>
          </cell>
          <cell r="F478" t="str">
            <v>Trần Tuấn Linh</v>
          </cell>
          <cell r="N478">
            <v>34987</v>
          </cell>
          <cell r="Q478" t="str">
            <v>Nam</v>
          </cell>
          <cell r="S478" t="str">
            <v>VN</v>
          </cell>
          <cell r="AL478" t="str">
            <v>Thành phố Hà Nội</v>
          </cell>
        </row>
        <row r="479">
          <cell r="C479" t="str">
            <v>8469454192</v>
          </cell>
          <cell r="F479" t="str">
            <v>Hà Phương Nhi</v>
          </cell>
          <cell r="N479">
            <v>33572</v>
          </cell>
          <cell r="Q479" t="str">
            <v>Nữ</v>
          </cell>
          <cell r="S479" t="str">
            <v>VN</v>
          </cell>
          <cell r="AL479" t="str">
            <v>Thành phố Hà Nội</v>
          </cell>
        </row>
        <row r="480">
          <cell r="C480" t="str">
            <v>8469454202</v>
          </cell>
          <cell r="F480" t="str">
            <v>Bùi Văn Truyền</v>
          </cell>
          <cell r="N480">
            <v>34206</v>
          </cell>
          <cell r="Q480" t="str">
            <v>Nam</v>
          </cell>
          <cell r="S480" t="str">
            <v>VN</v>
          </cell>
          <cell r="AL480" t="str">
            <v>Thành phố Hà Nội</v>
          </cell>
        </row>
        <row r="481">
          <cell r="C481" t="str">
            <v>8469454234</v>
          </cell>
          <cell r="F481" t="str">
            <v>Đoàn Thị Hải Yến</v>
          </cell>
          <cell r="N481">
            <v>34639</v>
          </cell>
          <cell r="Q481" t="str">
            <v>Nữ</v>
          </cell>
          <cell r="S481" t="str">
            <v>VN</v>
          </cell>
          <cell r="AL481" t="str">
            <v>Thành phố Hà Nội</v>
          </cell>
        </row>
        <row r="482">
          <cell r="C482" t="str">
            <v>8469925028</v>
          </cell>
          <cell r="F482" t="str">
            <v>Cáp Huệ Quyên</v>
          </cell>
          <cell r="N482">
            <v>34049</v>
          </cell>
          <cell r="Q482" t="str">
            <v>Nữ</v>
          </cell>
          <cell r="S482" t="str">
            <v>VN</v>
          </cell>
          <cell r="AL482" t="str">
            <v>Thành phố Hồ Chí Minh</v>
          </cell>
        </row>
        <row r="483">
          <cell r="C483" t="str">
            <v>8472668765</v>
          </cell>
          <cell r="F483" t="str">
            <v>Võ Nguyễn Hải Vy</v>
          </cell>
          <cell r="N483">
            <v>35184</v>
          </cell>
          <cell r="Q483" t="str">
            <v>Nữ</v>
          </cell>
          <cell r="S483" t="str">
            <v>VN</v>
          </cell>
          <cell r="AL483" t="str">
            <v>Thành phố Hồ Chí Minh</v>
          </cell>
        </row>
        <row r="484">
          <cell r="C484" t="str">
            <v>8472672200</v>
          </cell>
          <cell r="F484" t="str">
            <v>Lê Hoàng Ngọc Yến</v>
          </cell>
          <cell r="N484">
            <v>35052</v>
          </cell>
          <cell r="Q484" t="str">
            <v>Nữ</v>
          </cell>
          <cell r="S484" t="str">
            <v>VN</v>
          </cell>
          <cell r="AL484" t="str">
            <v>Thành phố Hồ Chí Minh</v>
          </cell>
        </row>
        <row r="485">
          <cell r="C485" t="str">
            <v>8474259983</v>
          </cell>
          <cell r="F485" t="str">
            <v>Nguyễn Thị Thanh Thủy</v>
          </cell>
          <cell r="N485">
            <v>32723</v>
          </cell>
          <cell r="Q485" t="str">
            <v>Nữ</v>
          </cell>
          <cell r="S485" t="str">
            <v>VN</v>
          </cell>
          <cell r="AL485" t="str">
            <v>Thành phố Hà Nội</v>
          </cell>
        </row>
        <row r="486">
          <cell r="C486" t="str">
            <v>8475917113</v>
          </cell>
          <cell r="F486" t="str">
            <v>Trần Trung Đoàn</v>
          </cell>
          <cell r="N486">
            <v>33731</v>
          </cell>
          <cell r="Q486" t="str">
            <v>Nam</v>
          </cell>
          <cell r="S486" t="str">
            <v>VN</v>
          </cell>
          <cell r="AL486" t="str">
            <v>Thành phố Hà Nội</v>
          </cell>
        </row>
        <row r="487">
          <cell r="C487" t="str">
            <v>8478303778</v>
          </cell>
          <cell r="F487" t="str">
            <v>Bùi Khắc Tân</v>
          </cell>
          <cell r="N487">
            <v>29645</v>
          </cell>
          <cell r="Q487" t="str">
            <v>Nam</v>
          </cell>
          <cell r="S487" t="str">
            <v>VN</v>
          </cell>
          <cell r="AL487" t="str">
            <v>Thành phố Hà Nội</v>
          </cell>
        </row>
        <row r="488">
          <cell r="C488" t="str">
            <v>8478863427</v>
          </cell>
          <cell r="F488" t="str">
            <v>Nguyễn Minh Khanh</v>
          </cell>
          <cell r="N488">
            <v>35639</v>
          </cell>
          <cell r="Q488" t="str">
            <v>Nam</v>
          </cell>
          <cell r="S488" t="str">
            <v>VN</v>
          </cell>
          <cell r="AL488" t="str">
            <v>Thành phố Hồ Chí Minh</v>
          </cell>
        </row>
        <row r="489">
          <cell r="C489" t="str">
            <v>8480332060</v>
          </cell>
          <cell r="F489" t="str">
            <v>Long Quỳnh Uyên</v>
          </cell>
          <cell r="N489">
            <v>34625</v>
          </cell>
          <cell r="Q489" t="str">
            <v>Nữ</v>
          </cell>
          <cell r="S489" t="str">
            <v>VN</v>
          </cell>
          <cell r="AL489" t="str">
            <v>Thành phố Hồ Chí Minh</v>
          </cell>
        </row>
        <row r="490">
          <cell r="C490" t="str">
            <v>8481143637</v>
          </cell>
          <cell r="F490" t="str">
            <v>Nguyễn Minh Toàn</v>
          </cell>
          <cell r="N490">
            <v>34865</v>
          </cell>
          <cell r="Q490" t="str">
            <v>Nam</v>
          </cell>
          <cell r="S490" t="str">
            <v>VN</v>
          </cell>
          <cell r="AL490" t="str">
            <v>Thành phố Hồ Chí Minh</v>
          </cell>
        </row>
        <row r="491">
          <cell r="C491" t="str">
            <v>8481883582</v>
          </cell>
          <cell r="F491" t="str">
            <v>Phạm Hồng Sơn</v>
          </cell>
          <cell r="N491">
            <v>33668</v>
          </cell>
          <cell r="Q491" t="str">
            <v>Nam</v>
          </cell>
          <cell r="S491" t="str">
            <v>VN</v>
          </cell>
          <cell r="AL491" t="str">
            <v>Thành phố Hồ Chí Minh</v>
          </cell>
        </row>
        <row r="492">
          <cell r="C492" t="str">
            <v>8482512615</v>
          </cell>
          <cell r="F492" t="str">
            <v>Kiều Duy Hùng</v>
          </cell>
          <cell r="N492">
            <v>35713</v>
          </cell>
          <cell r="Q492" t="str">
            <v>Nam</v>
          </cell>
          <cell r="S492" t="str">
            <v>VN</v>
          </cell>
          <cell r="AL492" t="str">
            <v>Thành phố Hà Nội</v>
          </cell>
        </row>
        <row r="493">
          <cell r="C493" t="str">
            <v>8483337719</v>
          </cell>
          <cell r="F493" t="str">
            <v>Bùi Thành Đạt</v>
          </cell>
          <cell r="N493">
            <v>34687</v>
          </cell>
          <cell r="Q493" t="str">
            <v>Nam</v>
          </cell>
          <cell r="S493" t="str">
            <v>VN</v>
          </cell>
          <cell r="AL493" t="str">
            <v>Thành phố Hà Nội</v>
          </cell>
        </row>
        <row r="494">
          <cell r="C494" t="str">
            <v>8483972703</v>
          </cell>
          <cell r="F494" t="str">
            <v>Nguyễn Văn Dần</v>
          </cell>
          <cell r="N494">
            <v>34700</v>
          </cell>
          <cell r="Q494" t="str">
            <v>Nam</v>
          </cell>
          <cell r="S494" t="str">
            <v>VN</v>
          </cell>
          <cell r="AL494" t="str">
            <v>Thành phố Hà Nội</v>
          </cell>
        </row>
        <row r="495">
          <cell r="C495" t="str">
            <v>8484138730</v>
          </cell>
          <cell r="F495" t="str">
            <v>Đinh Quốc Việt</v>
          </cell>
          <cell r="N495">
            <v>34986</v>
          </cell>
          <cell r="Q495" t="str">
            <v>Nam</v>
          </cell>
          <cell r="S495" t="str">
            <v>VN</v>
          </cell>
          <cell r="AL495" t="str">
            <v>Tỉnh Đồng Nai</v>
          </cell>
        </row>
        <row r="496">
          <cell r="C496" t="str">
            <v>8485882798</v>
          </cell>
          <cell r="F496" t="str">
            <v>Lê Phương Quỳnh</v>
          </cell>
          <cell r="N496">
            <v>36026</v>
          </cell>
          <cell r="Q496" t="str">
            <v>Nữ</v>
          </cell>
          <cell r="S496" t="str">
            <v>VN</v>
          </cell>
          <cell r="AL496" t="str">
            <v>Thành phố Hà Nội</v>
          </cell>
        </row>
        <row r="497">
          <cell r="C497" t="str">
            <v>8486234091</v>
          </cell>
          <cell r="F497" t="str">
            <v>Phan Thị Thanh Hải</v>
          </cell>
          <cell r="N497">
            <v>34692</v>
          </cell>
          <cell r="Q497" t="str">
            <v>Nữ</v>
          </cell>
          <cell r="S497" t="str">
            <v>VN</v>
          </cell>
          <cell r="AL497" t="str">
            <v>Thành phố Hà Nội</v>
          </cell>
        </row>
        <row r="498">
          <cell r="C498" t="str">
            <v>8487422891</v>
          </cell>
          <cell r="F498" t="str">
            <v>Trần Phúc Hưng</v>
          </cell>
          <cell r="N498">
            <v>35972</v>
          </cell>
          <cell r="Q498" t="str">
            <v>Nam</v>
          </cell>
          <cell r="S498" t="str">
            <v>VN</v>
          </cell>
          <cell r="AL498" t="str">
            <v>Thành phố Hà Nội</v>
          </cell>
        </row>
        <row r="499">
          <cell r="C499" t="str">
            <v>8490837670</v>
          </cell>
          <cell r="F499" t="str">
            <v>Nguyễn Quang Thái</v>
          </cell>
          <cell r="N499">
            <v>33223</v>
          </cell>
          <cell r="Q499" t="str">
            <v>Nam</v>
          </cell>
          <cell r="S499" t="str">
            <v>VN</v>
          </cell>
          <cell r="AL499" t="str">
            <v>Thành phố Hồ Chí Minh</v>
          </cell>
        </row>
        <row r="500">
          <cell r="C500" t="str">
            <v>8490837688</v>
          </cell>
          <cell r="F500" t="str">
            <v>Nguyễn Thị Thu Hường</v>
          </cell>
          <cell r="N500">
            <v>34319</v>
          </cell>
          <cell r="Q500" t="str">
            <v>Nữ</v>
          </cell>
          <cell r="S500" t="str">
            <v>VN</v>
          </cell>
          <cell r="AL500" t="str">
            <v>Thành phố Hồ Chí Minh</v>
          </cell>
        </row>
        <row r="501">
          <cell r="C501" t="str">
            <v>8490888756</v>
          </cell>
          <cell r="F501" t="str">
            <v>Huỳnh Công Tiến</v>
          </cell>
          <cell r="N501">
            <v>34452</v>
          </cell>
          <cell r="Q501" t="str">
            <v>Nam</v>
          </cell>
          <cell r="S501" t="str">
            <v>VN</v>
          </cell>
          <cell r="AL501" t="str">
            <v>Thành phố Hồ Chí Minh</v>
          </cell>
        </row>
        <row r="502">
          <cell r="C502" t="str">
            <v>8492401449</v>
          </cell>
          <cell r="F502" t="str">
            <v>Phạm Thị Ánh Duyên</v>
          </cell>
          <cell r="N502">
            <v>34810</v>
          </cell>
          <cell r="Q502" t="str">
            <v>Nữ</v>
          </cell>
          <cell r="S502" t="str">
            <v>VN</v>
          </cell>
          <cell r="AL502" t="str">
            <v>Thành phố Hồ Chí Minh</v>
          </cell>
        </row>
        <row r="503">
          <cell r="C503" t="str">
            <v>8492401456</v>
          </cell>
          <cell r="F503" t="str">
            <v>Nguyễn Thị Tường Vi</v>
          </cell>
          <cell r="N503">
            <v>34857</v>
          </cell>
          <cell r="Q503" t="str">
            <v>Nữ</v>
          </cell>
          <cell r="S503" t="str">
            <v>VN</v>
          </cell>
          <cell r="AL503" t="str">
            <v>Thành phố Cần Thơ</v>
          </cell>
        </row>
        <row r="504">
          <cell r="C504" t="str">
            <v>8492637758</v>
          </cell>
          <cell r="F504" t="str">
            <v>Nguyễn Anh Tú</v>
          </cell>
          <cell r="N504">
            <v>34352</v>
          </cell>
          <cell r="Q504" t="str">
            <v>Nam</v>
          </cell>
          <cell r="S504" t="str">
            <v>VN</v>
          </cell>
          <cell r="AL504" t="str">
            <v>Thành phố Hồ Chí Minh</v>
          </cell>
        </row>
        <row r="505">
          <cell r="C505" t="str">
            <v>8494360702</v>
          </cell>
          <cell r="F505" t="str">
            <v>Đào Thu Thảo</v>
          </cell>
          <cell r="N505">
            <v>34764</v>
          </cell>
          <cell r="Q505" t="str">
            <v>Nữ</v>
          </cell>
          <cell r="S505" t="str">
            <v>VN</v>
          </cell>
          <cell r="AL505" t="str">
            <v>Thành phố Hà Nội</v>
          </cell>
        </row>
        <row r="506">
          <cell r="C506" t="str">
            <v>8494904864</v>
          </cell>
          <cell r="F506" t="str">
            <v>Nguyễn Tuấn Huy</v>
          </cell>
          <cell r="N506">
            <v>34781</v>
          </cell>
          <cell r="Q506" t="str">
            <v>Nam</v>
          </cell>
          <cell r="S506" t="str">
            <v>VN</v>
          </cell>
          <cell r="AL506" t="str">
            <v>Thành phố Hồ Chí Minh</v>
          </cell>
        </row>
        <row r="507">
          <cell r="C507" t="str">
            <v>8495968003</v>
          </cell>
          <cell r="F507" t="str">
            <v>Bùi Yến Ly</v>
          </cell>
          <cell r="N507">
            <v>34960</v>
          </cell>
          <cell r="Q507" t="str">
            <v>Nữ</v>
          </cell>
          <cell r="S507" t="str">
            <v>VN</v>
          </cell>
          <cell r="AL507" t="str">
            <v>Thành phố Hà Nội</v>
          </cell>
        </row>
        <row r="508">
          <cell r="C508" t="str">
            <v>8497498145</v>
          </cell>
          <cell r="F508" t="str">
            <v>Chu Tuấn Đạt</v>
          </cell>
          <cell r="N508">
            <v>34651</v>
          </cell>
          <cell r="Q508" t="str">
            <v>Nam</v>
          </cell>
          <cell r="S508" t="str">
            <v>VN</v>
          </cell>
          <cell r="AL508" t="str">
            <v>Thành phố Hà Nội</v>
          </cell>
        </row>
        <row r="509">
          <cell r="C509" t="str">
            <v>8497798558</v>
          </cell>
          <cell r="F509" t="str">
            <v>Lê Thị Huyền</v>
          </cell>
          <cell r="N509">
            <v>34990</v>
          </cell>
          <cell r="Q509" t="str">
            <v>Nữ</v>
          </cell>
          <cell r="S509" t="str">
            <v>VN</v>
          </cell>
          <cell r="AL509" t="str">
            <v>Thành phố Hà Nội</v>
          </cell>
        </row>
        <row r="510">
          <cell r="C510" t="str">
            <v>8498539637</v>
          </cell>
          <cell r="F510" t="str">
            <v>Vũ Phương Thảo</v>
          </cell>
          <cell r="N510">
            <v>34057</v>
          </cell>
          <cell r="Q510" t="str">
            <v>Nữ</v>
          </cell>
          <cell r="S510" t="str">
            <v>VN</v>
          </cell>
          <cell r="AL510" t="str">
            <v>Thành phố Hồ Chí Minh</v>
          </cell>
        </row>
        <row r="511">
          <cell r="C511" t="str">
            <v>8498718298</v>
          </cell>
          <cell r="F511" t="str">
            <v>Lê Thị Hải Yến</v>
          </cell>
          <cell r="N511">
            <v>34570</v>
          </cell>
          <cell r="Q511" t="str">
            <v>Nữ</v>
          </cell>
          <cell r="S511" t="str">
            <v>VN</v>
          </cell>
          <cell r="AL511" t="str">
            <v>Thành phố Hà Nội</v>
          </cell>
        </row>
        <row r="512">
          <cell r="C512" t="str">
            <v>8499154809</v>
          </cell>
          <cell r="F512" t="str">
            <v>Lê Đăng Thức</v>
          </cell>
          <cell r="N512">
            <v>34012</v>
          </cell>
          <cell r="Q512" t="str">
            <v>Nam</v>
          </cell>
          <cell r="S512" t="str">
            <v>VN</v>
          </cell>
          <cell r="AL512" t="str">
            <v>Thành phố Hồ Chí Minh</v>
          </cell>
        </row>
        <row r="513">
          <cell r="C513" t="str">
            <v>8500092317</v>
          </cell>
          <cell r="F513" t="str">
            <v>Bùi Thị Nga</v>
          </cell>
          <cell r="N513">
            <v>34414</v>
          </cell>
          <cell r="Q513" t="str">
            <v>Nữ</v>
          </cell>
          <cell r="S513" t="str">
            <v>VN</v>
          </cell>
          <cell r="AL513" t="str">
            <v>Thành phố Hà Nội</v>
          </cell>
        </row>
        <row r="514">
          <cell r="C514" t="str">
            <v>8501351571</v>
          </cell>
          <cell r="F514" t="str">
            <v>Nguyễn Duy Hùng</v>
          </cell>
          <cell r="N514">
            <v>35206</v>
          </cell>
          <cell r="Q514" t="str">
            <v>Nam</v>
          </cell>
          <cell r="S514" t="str">
            <v>VN</v>
          </cell>
          <cell r="AL514" t="str">
            <v>Thành phố Hà Nội</v>
          </cell>
        </row>
        <row r="515">
          <cell r="C515" t="str">
            <v>8502471039</v>
          </cell>
          <cell r="F515" t="str">
            <v>Vũ Thị Thu Hiền</v>
          </cell>
          <cell r="N515">
            <v>33869</v>
          </cell>
          <cell r="Q515" t="str">
            <v>Nữ</v>
          </cell>
          <cell r="S515" t="str">
            <v>VN</v>
          </cell>
          <cell r="AL515" t="str">
            <v>Thành phố Hà Nội</v>
          </cell>
        </row>
        <row r="516">
          <cell r="C516" t="str">
            <v>8504957787</v>
          </cell>
          <cell r="F516" t="str">
            <v>Đỗ Nhật Minh</v>
          </cell>
          <cell r="N516">
            <v>35548</v>
          </cell>
          <cell r="Q516" t="str">
            <v>Nam</v>
          </cell>
          <cell r="S516" t="str">
            <v>VN</v>
          </cell>
          <cell r="AL516" t="str">
            <v>Thành phố Hà Nội</v>
          </cell>
        </row>
        <row r="517">
          <cell r="C517" t="str">
            <v>8507300968</v>
          </cell>
          <cell r="F517" t="str">
            <v>Võ Thị Hồng Ngọc</v>
          </cell>
          <cell r="N517">
            <v>35012</v>
          </cell>
          <cell r="Q517" t="str">
            <v>Nữ</v>
          </cell>
          <cell r="S517" t="str">
            <v>VN</v>
          </cell>
          <cell r="AL517" t="str">
            <v>Thành phố Hồ Chí Minh</v>
          </cell>
        </row>
        <row r="518">
          <cell r="C518" t="str">
            <v>8508710685</v>
          </cell>
          <cell r="F518" t="str">
            <v>Nguyễn Hằng Anh</v>
          </cell>
          <cell r="N518">
            <v>35062</v>
          </cell>
          <cell r="Q518" t="str">
            <v>Nữ</v>
          </cell>
          <cell r="S518" t="str">
            <v>VN</v>
          </cell>
          <cell r="AL518" t="str">
            <v>Thành phố Hà Nội</v>
          </cell>
        </row>
        <row r="519">
          <cell r="C519" t="str">
            <v>8508777640</v>
          </cell>
          <cell r="F519" t="str">
            <v>Nguyễn Hữu Tuấn</v>
          </cell>
          <cell r="N519">
            <v>35121</v>
          </cell>
          <cell r="Q519" t="str">
            <v>Nam</v>
          </cell>
          <cell r="S519" t="str">
            <v>VN</v>
          </cell>
          <cell r="AL519" t="str">
            <v>Tỉnh Quảng Bình</v>
          </cell>
        </row>
        <row r="520">
          <cell r="C520" t="str">
            <v>8509269544</v>
          </cell>
          <cell r="F520" t="str">
            <v>Phạm Thành Luân</v>
          </cell>
          <cell r="N520">
            <v>35481</v>
          </cell>
          <cell r="Q520" t="str">
            <v>Nam</v>
          </cell>
          <cell r="S520" t="str">
            <v>VN</v>
          </cell>
          <cell r="AL520" t="str">
            <v>Thành phố Hồ Chí Minh</v>
          </cell>
        </row>
        <row r="521">
          <cell r="C521" t="str">
            <v>8510818407</v>
          </cell>
          <cell r="F521" t="str">
            <v>Hồ Tố Tâm</v>
          </cell>
          <cell r="N521">
            <v>34256</v>
          </cell>
          <cell r="Q521" t="str">
            <v>Nữ</v>
          </cell>
          <cell r="S521" t="str">
            <v>VN</v>
          </cell>
          <cell r="AL521" t="str">
            <v>Thành phố Hà Nội</v>
          </cell>
        </row>
        <row r="522">
          <cell r="C522" t="str">
            <v>8510818414</v>
          </cell>
          <cell r="F522" t="str">
            <v>Hoàng Mạnh Hưng</v>
          </cell>
          <cell r="N522">
            <v>34058</v>
          </cell>
          <cell r="Q522" t="str">
            <v>Nam</v>
          </cell>
          <cell r="S522" t="str">
            <v>VN</v>
          </cell>
          <cell r="AL522" t="str">
            <v>Thành phố Hà Nội</v>
          </cell>
        </row>
        <row r="523">
          <cell r="C523" t="str">
            <v>8511350545</v>
          </cell>
          <cell r="F523" t="str">
            <v>Ngô Văn Duy</v>
          </cell>
          <cell r="N523">
            <v>37202</v>
          </cell>
          <cell r="Q523" t="str">
            <v>Nam</v>
          </cell>
          <cell r="S523" t="str">
            <v>VN</v>
          </cell>
          <cell r="AL523" t="str">
            <v>Thành phố Hà Nội</v>
          </cell>
        </row>
        <row r="524">
          <cell r="C524" t="str">
            <v>8511847513</v>
          </cell>
          <cell r="F524" t="str">
            <v>Tăng Văn Hùng</v>
          </cell>
          <cell r="N524">
            <v>32545</v>
          </cell>
          <cell r="Q524" t="str">
            <v>Nam</v>
          </cell>
          <cell r="S524" t="str">
            <v>VN</v>
          </cell>
          <cell r="AL524" t="str">
            <v>Thành phố Hồ Chí Minh</v>
          </cell>
        </row>
        <row r="525">
          <cell r="C525" t="str">
            <v>8512413822</v>
          </cell>
          <cell r="F525" t="str">
            <v>Nguyễn Thị Hoàng Như</v>
          </cell>
          <cell r="N525">
            <v>34571</v>
          </cell>
          <cell r="Q525" t="str">
            <v>Nữ</v>
          </cell>
          <cell r="S525" t="str">
            <v>VN</v>
          </cell>
          <cell r="AL525" t="str">
            <v>Thành phố Hồ Chí Minh</v>
          </cell>
        </row>
        <row r="526">
          <cell r="C526" t="str">
            <v>8513110193</v>
          </cell>
          <cell r="F526" t="str">
            <v>Cao Văn Minh</v>
          </cell>
          <cell r="N526">
            <v>35703</v>
          </cell>
          <cell r="Q526" t="str">
            <v>Nam</v>
          </cell>
          <cell r="S526" t="str">
            <v>VN</v>
          </cell>
          <cell r="AL526" t="str">
            <v>Thành phố Hà Nội</v>
          </cell>
        </row>
        <row r="527">
          <cell r="C527" t="str">
            <v>8513128828</v>
          </cell>
          <cell r="F527" t="str">
            <v>Nguyễn Đăng Huy</v>
          </cell>
          <cell r="N527">
            <v>36064</v>
          </cell>
          <cell r="Q527" t="str">
            <v>Nam</v>
          </cell>
          <cell r="S527" t="str">
            <v>VN</v>
          </cell>
          <cell r="AL527" t="str">
            <v>Thành phố Hồ Chí Minh</v>
          </cell>
        </row>
        <row r="528">
          <cell r="C528" t="str">
            <v>8514432517</v>
          </cell>
          <cell r="F528" t="str">
            <v>Nguyễn Trọng Nghĩa</v>
          </cell>
          <cell r="N528">
            <v>34542</v>
          </cell>
          <cell r="Q528" t="str">
            <v>Nam</v>
          </cell>
          <cell r="S528" t="str">
            <v>VN</v>
          </cell>
          <cell r="AL528" t="str">
            <v>Thành phố Hà Nội</v>
          </cell>
        </row>
        <row r="529">
          <cell r="C529" t="str">
            <v>8514817482</v>
          </cell>
          <cell r="F529" t="str">
            <v>Nguyễn Thị Thu Hà</v>
          </cell>
          <cell r="N529">
            <v>30969</v>
          </cell>
          <cell r="Q529" t="str">
            <v>Nữ</v>
          </cell>
          <cell r="S529" t="str">
            <v>VN</v>
          </cell>
          <cell r="AL529" t="str">
            <v>Thành phố Hà Nội</v>
          </cell>
        </row>
        <row r="530">
          <cell r="C530" t="str">
            <v>8515832476</v>
          </cell>
          <cell r="F530" t="str">
            <v>Đinh Xuân Hiệu</v>
          </cell>
          <cell r="N530">
            <v>31304</v>
          </cell>
          <cell r="Q530" t="str">
            <v>Nam</v>
          </cell>
          <cell r="S530" t="str">
            <v>VN</v>
          </cell>
          <cell r="AL530" t="str">
            <v>Thành phố Hà Nội</v>
          </cell>
        </row>
        <row r="531">
          <cell r="C531" t="str">
            <v>8516016872</v>
          </cell>
          <cell r="F531" t="str">
            <v>Nguyễn Hoàng Phương Thảo</v>
          </cell>
          <cell r="N531">
            <v>33923</v>
          </cell>
          <cell r="Q531" t="str">
            <v>Nữ</v>
          </cell>
          <cell r="S531" t="str">
            <v>VN</v>
          </cell>
          <cell r="AL531" t="str">
            <v>Thành phố Hà Nội</v>
          </cell>
        </row>
        <row r="532">
          <cell r="C532" t="str">
            <v>8516549849</v>
          </cell>
          <cell r="F532" t="str">
            <v>Bùi Quyền Linh</v>
          </cell>
          <cell r="N532">
            <v>36482</v>
          </cell>
          <cell r="Q532" t="str">
            <v>Nam</v>
          </cell>
          <cell r="S532" t="str">
            <v>VN</v>
          </cell>
          <cell r="AL532" t="str">
            <v>Thành phố Hà Nội</v>
          </cell>
        </row>
        <row r="533">
          <cell r="C533" t="str">
            <v>8516634251</v>
          </cell>
          <cell r="F533" t="str">
            <v>Phan Thanh Phong</v>
          </cell>
          <cell r="N533">
            <v>34951</v>
          </cell>
          <cell r="Q533" t="str">
            <v>Nam</v>
          </cell>
          <cell r="S533" t="str">
            <v>VN</v>
          </cell>
          <cell r="AL533" t="str">
            <v>Thành phố Hồ Chí Minh</v>
          </cell>
        </row>
        <row r="534">
          <cell r="C534" t="str">
            <v>8518367026</v>
          </cell>
          <cell r="F534" t="str">
            <v>Hoàng Hải Linh</v>
          </cell>
          <cell r="N534">
            <v>33463</v>
          </cell>
          <cell r="Q534" t="str">
            <v>Nam</v>
          </cell>
          <cell r="S534" t="str">
            <v>VN</v>
          </cell>
          <cell r="AL534" t="str">
            <v>Thành phố Hà Nội</v>
          </cell>
        </row>
        <row r="535">
          <cell r="C535" t="str">
            <v>8518532061</v>
          </cell>
          <cell r="F535" t="str">
            <v>Nguyễn Hoàng Khang</v>
          </cell>
          <cell r="N535">
            <v>34923</v>
          </cell>
          <cell r="Q535" t="str">
            <v>Nam</v>
          </cell>
          <cell r="S535" t="str">
            <v>VN</v>
          </cell>
          <cell r="AL535" t="str">
            <v>Tỉnh An Giang</v>
          </cell>
        </row>
        <row r="536">
          <cell r="C536" t="str">
            <v>8519882005</v>
          </cell>
          <cell r="F536" t="str">
            <v>Phạm Thị Kim Tiến</v>
          </cell>
          <cell r="N536">
            <v>34502</v>
          </cell>
          <cell r="Q536" t="str">
            <v>Nữ</v>
          </cell>
          <cell r="S536" t="str">
            <v>VN</v>
          </cell>
          <cell r="AL536" t="str">
            <v>Thành phố Hồ Chí Minh</v>
          </cell>
        </row>
        <row r="537">
          <cell r="C537" t="str">
            <v>8523648840</v>
          </cell>
          <cell r="F537" t="str">
            <v>Phạm Thị Thu Hương</v>
          </cell>
          <cell r="N537">
            <v>34552</v>
          </cell>
          <cell r="Q537" t="str">
            <v>Nữ</v>
          </cell>
          <cell r="S537" t="str">
            <v>VN</v>
          </cell>
          <cell r="AL537" t="str">
            <v>Thành phố Hà Nội</v>
          </cell>
        </row>
        <row r="538">
          <cell r="C538" t="str">
            <v>8523649001</v>
          </cell>
          <cell r="F538" t="str">
            <v>Lâm Thị Kim Dung</v>
          </cell>
          <cell r="N538">
            <v>34284</v>
          </cell>
          <cell r="Q538" t="str">
            <v>Nữ</v>
          </cell>
          <cell r="S538" t="str">
            <v>VN</v>
          </cell>
          <cell r="AL538" t="str">
            <v>Thành phố Hà Nội</v>
          </cell>
        </row>
        <row r="539">
          <cell r="C539" t="str">
            <v>8524892489</v>
          </cell>
          <cell r="F539" t="str">
            <v>Phan Nguyễn Anh Duy</v>
          </cell>
          <cell r="N539">
            <v>35428</v>
          </cell>
          <cell r="Q539" t="str">
            <v>Nam</v>
          </cell>
          <cell r="S539" t="str">
            <v>VN</v>
          </cell>
          <cell r="AL539" t="str">
            <v>Thành phố Hồ Chí Minh</v>
          </cell>
        </row>
        <row r="540">
          <cell r="C540" t="str">
            <v>8525380162</v>
          </cell>
          <cell r="F540" t="str">
            <v>Hồ Mộng Thúy</v>
          </cell>
          <cell r="N540">
            <v>28651</v>
          </cell>
          <cell r="Q540" t="str">
            <v>Nữ</v>
          </cell>
          <cell r="S540" t="str">
            <v>VN</v>
          </cell>
          <cell r="AL540" t="str">
            <v>Thành phố Hồ Chí Minh</v>
          </cell>
        </row>
        <row r="541">
          <cell r="C541" t="str">
            <v>8527437142</v>
          </cell>
          <cell r="F541" t="str">
            <v>Nguyễn Hoàng Thịnh</v>
          </cell>
          <cell r="N541">
            <v>36039</v>
          </cell>
          <cell r="Q541" t="str">
            <v>Nam</v>
          </cell>
          <cell r="S541" t="str">
            <v>VN</v>
          </cell>
          <cell r="AL541" t="str">
            <v>Thành phố Hồ Chí Minh</v>
          </cell>
        </row>
        <row r="542">
          <cell r="C542" t="str">
            <v>8530037916</v>
          </cell>
          <cell r="F542" t="str">
            <v>Huỳnh Quang Huy</v>
          </cell>
          <cell r="N542">
            <v>35578</v>
          </cell>
          <cell r="Q542" t="str">
            <v>Nam</v>
          </cell>
          <cell r="S542" t="str">
            <v>VN</v>
          </cell>
          <cell r="AL542" t="str">
            <v>Thành phố Hồ Chí Minh</v>
          </cell>
        </row>
        <row r="543">
          <cell r="C543" t="str">
            <v>8530884655</v>
          </cell>
          <cell r="F543" t="str">
            <v>Nguyễn Duy Lâm</v>
          </cell>
          <cell r="N543">
            <v>35549</v>
          </cell>
          <cell r="Q543" t="str">
            <v>Nam</v>
          </cell>
          <cell r="S543" t="str">
            <v>VN</v>
          </cell>
          <cell r="AL543" t="str">
            <v>Tỉnh Quảng Ninh</v>
          </cell>
        </row>
        <row r="544">
          <cell r="C544" t="str">
            <v>8532897674</v>
          </cell>
          <cell r="F544" t="str">
            <v>Lã Vĩnh Quang</v>
          </cell>
          <cell r="N544">
            <v>33636</v>
          </cell>
          <cell r="Q544" t="str">
            <v>Nam</v>
          </cell>
          <cell r="S544" t="str">
            <v>VN</v>
          </cell>
          <cell r="AL544" t="str">
            <v>Thành phố Hà Nội</v>
          </cell>
        </row>
        <row r="545">
          <cell r="C545" t="str">
            <v>8533715704</v>
          </cell>
          <cell r="F545" t="str">
            <v>Hà Thị Ái My</v>
          </cell>
          <cell r="N545">
            <v>35280</v>
          </cell>
          <cell r="Q545" t="str">
            <v>Nữ</v>
          </cell>
          <cell r="S545" t="str">
            <v>VN</v>
          </cell>
          <cell r="AL545" t="str">
            <v>Thành phố Hồ Chí Minh</v>
          </cell>
        </row>
        <row r="546">
          <cell r="C546" t="str">
            <v>8535663441</v>
          </cell>
          <cell r="F546" t="str">
            <v>Nguyễn Bảo Long</v>
          </cell>
          <cell r="N546">
            <v>35010</v>
          </cell>
          <cell r="Q546" t="str">
            <v>Nam</v>
          </cell>
          <cell r="S546" t="str">
            <v>VN</v>
          </cell>
          <cell r="AL546" t="str">
            <v>Thành phố Hà Nội</v>
          </cell>
        </row>
        <row r="547">
          <cell r="C547" t="str">
            <v>8537410083</v>
          </cell>
          <cell r="F547" t="str">
            <v>Nguyễn Hải Đăng</v>
          </cell>
          <cell r="N547">
            <v>34775</v>
          </cell>
          <cell r="Q547" t="str">
            <v>Nam</v>
          </cell>
          <cell r="S547" t="str">
            <v>VN</v>
          </cell>
          <cell r="AL547" t="str">
            <v>Thành phố Hồ Chí Minh</v>
          </cell>
        </row>
        <row r="548">
          <cell r="C548" t="str">
            <v>8537410220</v>
          </cell>
          <cell r="F548" t="str">
            <v>Nguyễn Thụy Như Quỳnh</v>
          </cell>
          <cell r="N548">
            <v>35315</v>
          </cell>
          <cell r="Q548" t="str">
            <v>Nữ</v>
          </cell>
          <cell r="S548" t="str">
            <v>VN</v>
          </cell>
          <cell r="AL548" t="str">
            <v>Thành phố Hồ Chí Minh</v>
          </cell>
        </row>
        <row r="549">
          <cell r="C549" t="str">
            <v>8537545637</v>
          </cell>
          <cell r="F549" t="str">
            <v>Nguyễn Duy Khánh</v>
          </cell>
          <cell r="N549">
            <v>33901</v>
          </cell>
          <cell r="Q549" t="str">
            <v>Nam</v>
          </cell>
          <cell r="S549" t="str">
            <v>VN</v>
          </cell>
          <cell r="AL549" t="str">
            <v>Thành phố Hà Nội</v>
          </cell>
        </row>
        <row r="550">
          <cell r="C550" t="str">
            <v>8538978129</v>
          </cell>
          <cell r="F550" t="str">
            <v>Trần Xuân Hảo</v>
          </cell>
          <cell r="N550">
            <v>35568</v>
          </cell>
          <cell r="Q550" t="str">
            <v>Nam</v>
          </cell>
          <cell r="S550" t="str">
            <v>VN</v>
          </cell>
          <cell r="AL550" t="str">
            <v>Thành phố Hà Nội</v>
          </cell>
        </row>
        <row r="551">
          <cell r="C551" t="str">
            <v>8539908773</v>
          </cell>
          <cell r="F551" t="str">
            <v>Nguyễn Đỗ Can</v>
          </cell>
          <cell r="N551">
            <v>35083</v>
          </cell>
          <cell r="Q551" t="str">
            <v>Nam</v>
          </cell>
          <cell r="S551" t="str">
            <v>VN</v>
          </cell>
          <cell r="AL551" t="str">
            <v>Thành phố Đà Nẵng</v>
          </cell>
        </row>
        <row r="552">
          <cell r="C552" t="str">
            <v>8540137483</v>
          </cell>
          <cell r="F552" t="str">
            <v>Đào Thị Yến</v>
          </cell>
          <cell r="N552">
            <v>35634</v>
          </cell>
          <cell r="Q552" t="str">
            <v>Nữ</v>
          </cell>
          <cell r="S552" t="str">
            <v>VN</v>
          </cell>
          <cell r="AL552" t="str">
            <v>Thành phố Hà Nội</v>
          </cell>
        </row>
        <row r="553">
          <cell r="C553" t="str">
            <v>8543193535</v>
          </cell>
          <cell r="F553" t="str">
            <v>Phạm Minh Đạt</v>
          </cell>
          <cell r="N553">
            <v>34920</v>
          </cell>
          <cell r="Q553" t="str">
            <v>Nam</v>
          </cell>
          <cell r="S553" t="str">
            <v>VN</v>
          </cell>
          <cell r="AL553" t="str">
            <v>Tỉnh Nghệ An</v>
          </cell>
        </row>
        <row r="554">
          <cell r="C554" t="str">
            <v>8545433824</v>
          </cell>
          <cell r="F554" t="str">
            <v>Đỗ Thành Đông</v>
          </cell>
          <cell r="N554">
            <v>35276</v>
          </cell>
          <cell r="Q554" t="str">
            <v>Nam</v>
          </cell>
          <cell r="S554" t="str">
            <v>VN</v>
          </cell>
          <cell r="AL554" t="str">
            <v>Thành phố Hà Nội</v>
          </cell>
        </row>
        <row r="555">
          <cell r="C555" t="str">
            <v>8547854024</v>
          </cell>
          <cell r="F555" t="str">
            <v>Nguyễn Đức Cường</v>
          </cell>
          <cell r="N555">
            <v>34430</v>
          </cell>
          <cell r="Q555" t="str">
            <v>Nam</v>
          </cell>
          <cell r="S555" t="str">
            <v>VN</v>
          </cell>
          <cell r="AL555" t="str">
            <v>Thành phố Hồ Chí Minh</v>
          </cell>
        </row>
        <row r="556">
          <cell r="C556" t="str">
            <v>8550966747</v>
          </cell>
          <cell r="F556" t="str">
            <v>Đinh Thị Thanh Tuyền</v>
          </cell>
          <cell r="N556">
            <v>34708</v>
          </cell>
          <cell r="Q556" t="str">
            <v>Nữ</v>
          </cell>
          <cell r="S556" t="str">
            <v>VN</v>
          </cell>
          <cell r="AL556" t="str">
            <v>Thành phố Hồ Chí Minh</v>
          </cell>
        </row>
        <row r="557">
          <cell r="C557" t="str">
            <v>8551845992</v>
          </cell>
          <cell r="F557" t="str">
            <v>Ngô Thị Như Nguyệt</v>
          </cell>
          <cell r="N557">
            <v>32956</v>
          </cell>
          <cell r="Q557" t="str">
            <v>Nữ</v>
          </cell>
          <cell r="S557" t="str">
            <v>VN</v>
          </cell>
          <cell r="AL557" t="str">
            <v>Thành phố Cần Thơ</v>
          </cell>
        </row>
        <row r="558">
          <cell r="C558" t="str">
            <v>8553318374</v>
          </cell>
          <cell r="F558" t="str">
            <v>Nguyễn Phan Như Quỳnh</v>
          </cell>
          <cell r="N558">
            <v>37852</v>
          </cell>
          <cell r="Q558" t="str">
            <v>Nữ</v>
          </cell>
          <cell r="S558" t="str">
            <v>VN</v>
          </cell>
          <cell r="AL558" t="str">
            <v>Thành phố Hồ Chí Minh</v>
          </cell>
        </row>
        <row r="559">
          <cell r="C559" t="str">
            <v>8553587666</v>
          </cell>
          <cell r="F559" t="str">
            <v>Vũ Thị Minh Thư</v>
          </cell>
          <cell r="N559">
            <v>35053</v>
          </cell>
          <cell r="Q559" t="str">
            <v>Nữ</v>
          </cell>
          <cell r="S559" t="str">
            <v>VN</v>
          </cell>
          <cell r="AL559" t="str">
            <v>Thành phố Hà Nội</v>
          </cell>
        </row>
        <row r="560">
          <cell r="C560" t="str">
            <v>8555514293</v>
          </cell>
          <cell r="F560" t="str">
            <v>Nguyễn Gia Tiến</v>
          </cell>
          <cell r="N560">
            <v>35790</v>
          </cell>
          <cell r="Q560" t="str">
            <v>Nam</v>
          </cell>
          <cell r="S560" t="str">
            <v>VN</v>
          </cell>
          <cell r="AL560" t="str">
            <v>Thành phố Hà Nội</v>
          </cell>
        </row>
        <row r="561">
          <cell r="C561" t="str">
            <v>8555910995</v>
          </cell>
          <cell r="F561" t="str">
            <v>Nguyễn Thanh Thùy</v>
          </cell>
          <cell r="N561">
            <v>35302</v>
          </cell>
          <cell r="Q561" t="str">
            <v>Nữ</v>
          </cell>
          <cell r="S561" t="str">
            <v>VN</v>
          </cell>
          <cell r="AL561" t="str">
            <v>Thành phố Hồ Chí Minh</v>
          </cell>
        </row>
        <row r="562">
          <cell r="C562" t="str">
            <v>8557144707</v>
          </cell>
          <cell r="F562" t="str">
            <v>Trịnh Quỳnh Hương</v>
          </cell>
          <cell r="N562">
            <v>34753</v>
          </cell>
          <cell r="Q562" t="str">
            <v>Nữ</v>
          </cell>
          <cell r="S562" t="str">
            <v>VN</v>
          </cell>
          <cell r="AL562" t="str">
            <v>Thành phố Hà Nội</v>
          </cell>
        </row>
        <row r="563">
          <cell r="C563" t="str">
            <v>8558152147</v>
          </cell>
          <cell r="F563" t="str">
            <v>Nguyễn Thị Mai Anh</v>
          </cell>
          <cell r="N563">
            <v>36174</v>
          </cell>
          <cell r="Q563" t="str">
            <v>Nữ</v>
          </cell>
          <cell r="S563" t="str">
            <v>VN</v>
          </cell>
          <cell r="AL563" t="str">
            <v>Thành phố Hà Nội</v>
          </cell>
        </row>
        <row r="564">
          <cell r="C564" t="str">
            <v>8558702168</v>
          </cell>
          <cell r="F564" t="str">
            <v>Nguyễn Hoài Nam</v>
          </cell>
          <cell r="N564">
            <v>35339</v>
          </cell>
          <cell r="Q564" t="str">
            <v>Nam</v>
          </cell>
          <cell r="S564" t="str">
            <v>VN</v>
          </cell>
          <cell r="AL564" t="str">
            <v>Thành phố Hồ Chí Minh</v>
          </cell>
        </row>
        <row r="565">
          <cell r="C565" t="str">
            <v>8558724161</v>
          </cell>
          <cell r="F565" t="str">
            <v>Lê Thị Thanh Tâm</v>
          </cell>
          <cell r="N565">
            <v>35207</v>
          </cell>
          <cell r="Q565" t="str">
            <v>Nữ</v>
          </cell>
          <cell r="S565" t="str">
            <v>VN</v>
          </cell>
          <cell r="AL565" t="str">
            <v>Thành phố Hồ Chí Minh</v>
          </cell>
        </row>
        <row r="566">
          <cell r="C566" t="str">
            <v>8558981521</v>
          </cell>
          <cell r="F566" t="str">
            <v>Hồ Ngọc Tiến</v>
          </cell>
          <cell r="N566">
            <v>35301</v>
          </cell>
          <cell r="Q566" t="str">
            <v>Nam</v>
          </cell>
          <cell r="S566" t="str">
            <v>VN</v>
          </cell>
          <cell r="AL566" t="str">
            <v>Tỉnh Nghệ An</v>
          </cell>
        </row>
        <row r="567">
          <cell r="C567" t="str">
            <v>8562269395</v>
          </cell>
          <cell r="F567" t="str">
            <v>Hoàng Ngọc Hải</v>
          </cell>
          <cell r="N567">
            <v>35371</v>
          </cell>
          <cell r="Q567" t="str">
            <v>Nam</v>
          </cell>
          <cell r="S567" t="str">
            <v>VN</v>
          </cell>
          <cell r="AL567" t="str">
            <v>Thành phố Hồ Chí Minh</v>
          </cell>
        </row>
        <row r="568">
          <cell r="C568" t="str">
            <v>8562644529</v>
          </cell>
          <cell r="F568" t="str">
            <v>Phạm Văn Minh</v>
          </cell>
          <cell r="N568">
            <v>34915</v>
          </cell>
          <cell r="Q568" t="str">
            <v>Nam</v>
          </cell>
          <cell r="S568" t="str">
            <v>VN</v>
          </cell>
          <cell r="AL568" t="str">
            <v>Thành phố Hồ Chí Minh</v>
          </cell>
        </row>
        <row r="569">
          <cell r="C569" t="str">
            <v>8563321802</v>
          </cell>
          <cell r="F569" t="str">
            <v>Võ Tường Vi</v>
          </cell>
          <cell r="N569">
            <v>34978</v>
          </cell>
          <cell r="Q569" t="str">
            <v>Nữ</v>
          </cell>
          <cell r="S569" t="str">
            <v>VN</v>
          </cell>
          <cell r="AL569" t="str">
            <v>Thành phố Hồ Chí Minh</v>
          </cell>
        </row>
        <row r="570">
          <cell r="C570" t="str">
            <v>8567396679</v>
          </cell>
          <cell r="F570" t="str">
            <v>Nguyễn Lê Tuấn Kiệt</v>
          </cell>
          <cell r="N570">
            <v>35052</v>
          </cell>
          <cell r="Q570" t="str">
            <v>Nam</v>
          </cell>
          <cell r="S570" t="str">
            <v>VN</v>
          </cell>
          <cell r="AL570" t="str">
            <v>Thành phố Hồ Chí Minh</v>
          </cell>
        </row>
        <row r="571">
          <cell r="C571" t="str">
            <v>8567653301</v>
          </cell>
          <cell r="F571" t="str">
            <v>Phạm Thị Thảo</v>
          </cell>
          <cell r="N571">
            <v>34153</v>
          </cell>
          <cell r="Q571" t="str">
            <v>Nữ</v>
          </cell>
          <cell r="S571" t="str">
            <v>VN</v>
          </cell>
          <cell r="AL571" t="str">
            <v>Thành phố Hà Nội</v>
          </cell>
        </row>
        <row r="572">
          <cell r="C572" t="str">
            <v>8570658324</v>
          </cell>
          <cell r="F572" t="str">
            <v>Trần Thị Tình</v>
          </cell>
          <cell r="N572">
            <v>34184</v>
          </cell>
          <cell r="Q572" t="str">
            <v>Nữ</v>
          </cell>
          <cell r="S572" t="str">
            <v>VN</v>
          </cell>
          <cell r="AL572" t="str">
            <v>Thành phố Hà Nội</v>
          </cell>
        </row>
        <row r="573">
          <cell r="C573" t="str">
            <v>8572604807</v>
          </cell>
          <cell r="F573" t="str">
            <v>Phạm Thị Lan Anh</v>
          </cell>
          <cell r="N573">
            <v>35618</v>
          </cell>
          <cell r="Q573" t="str">
            <v>Nữ</v>
          </cell>
          <cell r="S573" t="str">
            <v>VN</v>
          </cell>
          <cell r="AL573" t="str">
            <v>Thành phố Hà Nội</v>
          </cell>
        </row>
        <row r="574">
          <cell r="C574" t="str">
            <v>8574613613</v>
          </cell>
          <cell r="F574" t="str">
            <v>Huỳnh Quốc Sang</v>
          </cell>
          <cell r="N574">
            <v>34848</v>
          </cell>
          <cell r="Q574" t="str">
            <v>Nam</v>
          </cell>
          <cell r="S574" t="str">
            <v>VN</v>
          </cell>
          <cell r="AL574" t="str">
            <v>Thành phố Hồ Chí Minh</v>
          </cell>
        </row>
        <row r="575">
          <cell r="C575" t="str">
            <v>8575524892</v>
          </cell>
          <cell r="F575" t="str">
            <v>Hà Ngọc Thái</v>
          </cell>
          <cell r="N575">
            <v>34893</v>
          </cell>
          <cell r="Q575" t="str">
            <v>Nam</v>
          </cell>
          <cell r="S575" t="str">
            <v>VN</v>
          </cell>
          <cell r="AL575" t="str">
            <v>Thành phố Đà Nẵng</v>
          </cell>
        </row>
        <row r="576">
          <cell r="C576" t="str">
            <v>8576574430</v>
          </cell>
          <cell r="F576" t="str">
            <v>Trương Văn Lộc</v>
          </cell>
          <cell r="N576">
            <v>36422</v>
          </cell>
          <cell r="Q576" t="str">
            <v>Nam</v>
          </cell>
          <cell r="S576" t="str">
            <v>VN</v>
          </cell>
          <cell r="AL576" t="str">
            <v>Thành phố Hồ Chí Minh</v>
          </cell>
        </row>
        <row r="577">
          <cell r="C577" t="str">
            <v>8576755395</v>
          </cell>
          <cell r="F577" t="str">
            <v>Hà Thu Hằng</v>
          </cell>
          <cell r="N577">
            <v>36635</v>
          </cell>
          <cell r="Q577" t="str">
            <v>Nữ</v>
          </cell>
          <cell r="S577" t="str">
            <v>VN</v>
          </cell>
          <cell r="AL577" t="str">
            <v>Thành phố Hà Nội</v>
          </cell>
        </row>
        <row r="578">
          <cell r="C578" t="str">
            <v>8578596302</v>
          </cell>
          <cell r="F578" t="str">
            <v>Nguyễn Trinh Hà Anh</v>
          </cell>
          <cell r="N578">
            <v>34222</v>
          </cell>
          <cell r="Q578" t="str">
            <v>Nữ</v>
          </cell>
          <cell r="S578" t="str">
            <v>VN</v>
          </cell>
          <cell r="AL578" t="str">
            <v>Thành phố Hà Nội</v>
          </cell>
        </row>
        <row r="579">
          <cell r="C579" t="str">
            <v>8578596581</v>
          </cell>
          <cell r="F579" t="str">
            <v>Hoàng Thị Trâm</v>
          </cell>
          <cell r="N579">
            <v>35004</v>
          </cell>
          <cell r="Q579" t="str">
            <v>Nữ</v>
          </cell>
          <cell r="S579" t="str">
            <v>VN</v>
          </cell>
          <cell r="AL579" t="str">
            <v>Thành phố Hà Nội</v>
          </cell>
        </row>
        <row r="580">
          <cell r="C580" t="str">
            <v>8579303728</v>
          </cell>
          <cell r="F580" t="str">
            <v>Dương Thế Vĩnh</v>
          </cell>
          <cell r="N580">
            <v>35001</v>
          </cell>
          <cell r="Q580" t="str">
            <v>Nam</v>
          </cell>
          <cell r="S580" t="str">
            <v>VN</v>
          </cell>
          <cell r="AL580" t="str">
            <v>Thành phố Hà Nội</v>
          </cell>
        </row>
        <row r="581">
          <cell r="C581" t="str">
            <v>8581936421</v>
          </cell>
          <cell r="F581" t="str">
            <v>Nguyễn Huỳnh Đức</v>
          </cell>
          <cell r="N581">
            <v>34983</v>
          </cell>
          <cell r="Q581" t="str">
            <v>Nam</v>
          </cell>
          <cell r="S581" t="str">
            <v>VN</v>
          </cell>
          <cell r="AL581" t="str">
            <v>Thành phố Hà Nội</v>
          </cell>
        </row>
        <row r="582">
          <cell r="C582" t="str">
            <v>8581997093</v>
          </cell>
          <cell r="F582" t="str">
            <v>Phạm Hoài Anh</v>
          </cell>
          <cell r="N582">
            <v>35017</v>
          </cell>
          <cell r="Q582" t="str">
            <v>Nữ</v>
          </cell>
          <cell r="S582" t="str">
            <v>VN</v>
          </cell>
          <cell r="AL582" t="str">
            <v>Thành phố Hà Nội</v>
          </cell>
        </row>
        <row r="583">
          <cell r="C583" t="str">
            <v>8582735661</v>
          </cell>
          <cell r="F583" t="str">
            <v>Nguyễn Thị Thu Hoa</v>
          </cell>
          <cell r="N583">
            <v>30921</v>
          </cell>
          <cell r="Q583" t="str">
            <v>Nữ</v>
          </cell>
          <cell r="S583" t="str">
            <v>VN</v>
          </cell>
          <cell r="AL583" t="str">
            <v>Thành phố Hà Nội</v>
          </cell>
        </row>
        <row r="584">
          <cell r="C584" t="str">
            <v>8584260413</v>
          </cell>
          <cell r="F584" t="str">
            <v>Phan Bích Ngọc</v>
          </cell>
          <cell r="N584">
            <v>35067</v>
          </cell>
          <cell r="Q584" t="str">
            <v>Nữ</v>
          </cell>
          <cell r="S584" t="str">
            <v>VN</v>
          </cell>
          <cell r="AL584" t="str">
            <v>Thành phố Hà Nội</v>
          </cell>
        </row>
        <row r="585">
          <cell r="C585" t="str">
            <v>8585728528</v>
          </cell>
          <cell r="F585" t="str">
            <v>Bùi Thị Xuân Hòa</v>
          </cell>
          <cell r="N585">
            <v>36027</v>
          </cell>
          <cell r="Q585" t="str">
            <v>Nữ</v>
          </cell>
          <cell r="S585" t="str">
            <v>VN</v>
          </cell>
          <cell r="AL585" t="str">
            <v>Thành phố Hồ Chí Minh</v>
          </cell>
        </row>
        <row r="586">
          <cell r="C586" t="str">
            <v>8588898006</v>
          </cell>
          <cell r="F586" t="str">
            <v>Lê Nguyễn Bảo Anh</v>
          </cell>
          <cell r="N586">
            <v>35746</v>
          </cell>
          <cell r="Q586" t="str">
            <v>Nam</v>
          </cell>
          <cell r="S586" t="str">
            <v>VN</v>
          </cell>
          <cell r="AL586" t="str">
            <v>Thành phố Hồ Chí Minh</v>
          </cell>
        </row>
        <row r="587">
          <cell r="C587" t="str">
            <v>8593168125</v>
          </cell>
          <cell r="F587" t="str">
            <v>Nguyễn Hà Vân</v>
          </cell>
          <cell r="N587">
            <v>35828</v>
          </cell>
          <cell r="Q587" t="str">
            <v>Nữ</v>
          </cell>
          <cell r="S587" t="str">
            <v>VN</v>
          </cell>
          <cell r="AL587" t="str">
            <v>Thành phố Hà Nội</v>
          </cell>
        </row>
        <row r="588">
          <cell r="C588" t="str">
            <v>8595725646</v>
          </cell>
          <cell r="F588" t="str">
            <v>Phan Gia Hưng</v>
          </cell>
          <cell r="N588">
            <v>35310</v>
          </cell>
          <cell r="Q588" t="str">
            <v>Nam</v>
          </cell>
          <cell r="S588" t="str">
            <v>VN</v>
          </cell>
          <cell r="AL588" t="str">
            <v>Thành phố Hồ Chí Minh</v>
          </cell>
        </row>
        <row r="589">
          <cell r="C589" t="str">
            <v>8599950924</v>
          </cell>
          <cell r="F589" t="str">
            <v>Phan Trịnh Thảo My</v>
          </cell>
          <cell r="N589">
            <v>37123</v>
          </cell>
          <cell r="Q589" t="str">
            <v>Nữ</v>
          </cell>
          <cell r="S589" t="str">
            <v>VN</v>
          </cell>
          <cell r="AL589" t="str">
            <v>Thành phố Hồ Chí Minh</v>
          </cell>
        </row>
        <row r="590">
          <cell r="C590" t="str">
            <v>8600883270</v>
          </cell>
          <cell r="F590" t="str">
            <v>Nguyễn Thị Nga</v>
          </cell>
          <cell r="N590">
            <v>37168</v>
          </cell>
          <cell r="Q590" t="str">
            <v>Nữ</v>
          </cell>
          <cell r="S590" t="str">
            <v>VN</v>
          </cell>
          <cell r="AL590" t="str">
            <v>Thành phố Hà Nội</v>
          </cell>
        </row>
        <row r="591">
          <cell r="C591" t="str">
            <v>8601095064</v>
          </cell>
          <cell r="F591" t="str">
            <v>Lê Thị Hoàng Uyên</v>
          </cell>
          <cell r="N591">
            <v>36329</v>
          </cell>
          <cell r="Q591" t="str">
            <v>Nữ</v>
          </cell>
          <cell r="S591" t="str">
            <v>VN</v>
          </cell>
          <cell r="AL591" t="str">
            <v>Thành phố Hồ Chí Minh</v>
          </cell>
        </row>
        <row r="592">
          <cell r="C592" t="str">
            <v>8601402759</v>
          </cell>
          <cell r="F592" t="str">
            <v>Nguyễn Thị Kiều Trang</v>
          </cell>
          <cell r="N592">
            <v>33232</v>
          </cell>
          <cell r="Q592" t="str">
            <v>Nữ</v>
          </cell>
          <cell r="S592" t="str">
            <v>VN</v>
          </cell>
          <cell r="AL592" t="str">
            <v>Thành phố Hồ Chí Minh</v>
          </cell>
        </row>
        <row r="593">
          <cell r="C593" t="str">
            <v>8601493499</v>
          </cell>
          <cell r="F593" t="str">
            <v>Hồ Võ Quốc Anh</v>
          </cell>
          <cell r="N593">
            <v>33879</v>
          </cell>
          <cell r="Q593" t="str">
            <v>Nam</v>
          </cell>
          <cell r="S593" t="str">
            <v>VN</v>
          </cell>
          <cell r="AL593" t="str">
            <v>Thành phố Hồ Chí Minh</v>
          </cell>
        </row>
        <row r="594">
          <cell r="C594" t="str">
            <v>8603079879</v>
          </cell>
          <cell r="F594" t="str">
            <v>Nguyễn Long Hồ</v>
          </cell>
          <cell r="N594">
            <v>37068</v>
          </cell>
          <cell r="Q594" t="str">
            <v>Nam</v>
          </cell>
          <cell r="S594" t="str">
            <v>VN</v>
          </cell>
          <cell r="AL594" t="str">
            <v>Tỉnh Sóc Trăng</v>
          </cell>
        </row>
        <row r="595">
          <cell r="C595" t="str">
            <v>8604653905</v>
          </cell>
          <cell r="F595" t="str">
            <v>Hoàng Ngọc Tú Anh</v>
          </cell>
          <cell r="N595">
            <v>37240</v>
          </cell>
          <cell r="Q595" t="str">
            <v>Nữ</v>
          </cell>
          <cell r="S595" t="str">
            <v>VN</v>
          </cell>
          <cell r="AL595" t="str">
            <v>Thành phố Hà Nội</v>
          </cell>
        </row>
        <row r="596">
          <cell r="C596" t="str">
            <v>8604864381</v>
          </cell>
          <cell r="F596" t="str">
            <v>Đinh Tố Nhi</v>
          </cell>
          <cell r="N596">
            <v>34657</v>
          </cell>
          <cell r="Q596" t="str">
            <v>Nữ</v>
          </cell>
          <cell r="S596" t="str">
            <v>VN</v>
          </cell>
          <cell r="AL596" t="str">
            <v>Thành phố Đà Nẵng</v>
          </cell>
        </row>
        <row r="597">
          <cell r="C597" t="str">
            <v>8605698994</v>
          </cell>
          <cell r="F597" t="str">
            <v>Đinh Trung Đức</v>
          </cell>
          <cell r="N597">
            <v>35996</v>
          </cell>
          <cell r="Q597" t="str">
            <v>Nam</v>
          </cell>
          <cell r="S597" t="str">
            <v>VN</v>
          </cell>
          <cell r="AL597" t="str">
            <v>Tỉnh Bình Dương</v>
          </cell>
        </row>
        <row r="598">
          <cell r="C598" t="str">
            <v>8605755579</v>
          </cell>
          <cell r="F598" t="str">
            <v>Huỳnh Minh Trí</v>
          </cell>
          <cell r="N598">
            <v>35654</v>
          </cell>
          <cell r="Q598" t="str">
            <v>Nam</v>
          </cell>
          <cell r="S598" t="str">
            <v>VN</v>
          </cell>
          <cell r="AL598" t="str">
            <v>Thành phố Hồ Chí Minh</v>
          </cell>
        </row>
        <row r="599">
          <cell r="C599" t="str">
            <v>8606232638</v>
          </cell>
          <cell r="F599" t="str">
            <v>Mai Quyết Thắng</v>
          </cell>
          <cell r="N599">
            <v>37112</v>
          </cell>
          <cell r="Q599" t="str">
            <v>Nam</v>
          </cell>
          <cell r="S599" t="str">
            <v>VN</v>
          </cell>
          <cell r="AL599" t="str">
            <v>Thành phố Hà Nội</v>
          </cell>
        </row>
        <row r="600">
          <cell r="C600" t="str">
            <v>8606550824</v>
          </cell>
          <cell r="F600" t="str">
            <v>Vương Hồng Hạnh</v>
          </cell>
          <cell r="N600">
            <v>36866</v>
          </cell>
          <cell r="Q600" t="str">
            <v>Nữ</v>
          </cell>
          <cell r="S600" t="str">
            <v>VN</v>
          </cell>
          <cell r="AL600" t="str">
            <v>Thành phố Hà Nội</v>
          </cell>
        </row>
        <row r="601">
          <cell r="C601" t="str">
            <v>8606799339</v>
          </cell>
          <cell r="F601" t="str">
            <v>Nguyễn Văn Bẩy</v>
          </cell>
          <cell r="N601">
            <v>34356</v>
          </cell>
          <cell r="Q601" t="str">
            <v>Nam</v>
          </cell>
          <cell r="S601" t="str">
            <v>VN</v>
          </cell>
          <cell r="AL601" t="str">
            <v>Thành phố Hồ Chí Minh</v>
          </cell>
        </row>
        <row r="602">
          <cell r="C602" t="str">
            <v>8606853233</v>
          </cell>
          <cell r="F602" t="str">
            <v>Trương Nguyễn Lộc Ninh</v>
          </cell>
          <cell r="N602">
            <v>35341</v>
          </cell>
          <cell r="Q602" t="str">
            <v>Nam</v>
          </cell>
          <cell r="S602" t="str">
            <v>VN</v>
          </cell>
          <cell r="AL602" t="str">
            <v>Thành phố Hồ Chí Minh</v>
          </cell>
        </row>
        <row r="603">
          <cell r="C603" t="str">
            <v>8607525718</v>
          </cell>
          <cell r="F603" t="str">
            <v>Huỳnh Ngọc Bảo Trân</v>
          </cell>
          <cell r="N603">
            <v>35610</v>
          </cell>
          <cell r="Q603" t="str">
            <v>Nữ</v>
          </cell>
          <cell r="S603" t="str">
            <v>VN</v>
          </cell>
          <cell r="AL603" t="str">
            <v>Thành phố Hồ Chí Minh</v>
          </cell>
        </row>
        <row r="604">
          <cell r="C604" t="str">
            <v>8608802587</v>
          </cell>
          <cell r="F604" t="str">
            <v>Đàm Thị Mến</v>
          </cell>
          <cell r="N604">
            <v>35498</v>
          </cell>
          <cell r="Q604" t="str">
            <v>Nữ</v>
          </cell>
          <cell r="S604" t="str">
            <v>VN</v>
          </cell>
          <cell r="AL604" t="str">
            <v>Thành phố Hà Nội</v>
          </cell>
        </row>
        <row r="605">
          <cell r="C605" t="str">
            <v>8619363109</v>
          </cell>
          <cell r="F605" t="str">
            <v>Đặng Viết Dũng</v>
          </cell>
          <cell r="N605">
            <v>36727</v>
          </cell>
          <cell r="Q605" t="str">
            <v>Nam</v>
          </cell>
          <cell r="S605" t="str">
            <v>VN</v>
          </cell>
          <cell r="AL605" t="str">
            <v>Thành phố Hà Nội</v>
          </cell>
        </row>
        <row r="606">
          <cell r="C606" t="str">
            <v>8621355472</v>
          </cell>
          <cell r="F606" t="str">
            <v>Hoàng Thị Thảo</v>
          </cell>
          <cell r="N606">
            <v>35152</v>
          </cell>
          <cell r="Q606" t="str">
            <v>Nữ</v>
          </cell>
          <cell r="S606" t="str">
            <v>VN</v>
          </cell>
          <cell r="AL606" t="str">
            <v>Thành phố Hồ Chí Minh</v>
          </cell>
        </row>
        <row r="607">
          <cell r="C607" t="str">
            <v>8625679904</v>
          </cell>
          <cell r="F607" t="str">
            <v>Nguyễn Thị Minh Thanh</v>
          </cell>
          <cell r="N607">
            <v>36812</v>
          </cell>
          <cell r="Q607" t="str">
            <v>Nữ</v>
          </cell>
          <cell r="S607" t="str">
            <v>VN</v>
          </cell>
          <cell r="AL607" t="str">
            <v>Thành phố Hà Nội</v>
          </cell>
        </row>
        <row r="608">
          <cell r="C608" t="str">
            <v>8625807095</v>
          </cell>
          <cell r="F608" t="str">
            <v>Nguyễn Anh Tuấn</v>
          </cell>
          <cell r="N608">
            <v>35679</v>
          </cell>
          <cell r="Q608" t="str">
            <v>Nam</v>
          </cell>
          <cell r="S608" t="str">
            <v>VN</v>
          </cell>
          <cell r="AL608" t="str">
            <v>Thành phố Hồ Chí Minh</v>
          </cell>
        </row>
        <row r="609">
          <cell r="C609" t="str">
            <v>8626196593</v>
          </cell>
          <cell r="F609" t="str">
            <v>Nguyễn Thu Thảo</v>
          </cell>
          <cell r="N609">
            <v>35227</v>
          </cell>
          <cell r="Q609" t="str">
            <v>Nữ</v>
          </cell>
          <cell r="S609" t="str">
            <v>VN</v>
          </cell>
          <cell r="AL609" t="str">
            <v>Thành phố Hà Nội</v>
          </cell>
        </row>
        <row r="610">
          <cell r="C610" t="str">
            <v>8627335761</v>
          </cell>
          <cell r="F610" t="str">
            <v>Nguyễn Trường Thịnh</v>
          </cell>
          <cell r="N610">
            <v>35121</v>
          </cell>
          <cell r="Q610" t="str">
            <v>Nam</v>
          </cell>
          <cell r="S610" t="str">
            <v>VN</v>
          </cell>
          <cell r="AL610" t="str">
            <v>Thành phố Cần Thơ</v>
          </cell>
        </row>
        <row r="611">
          <cell r="C611" t="str">
            <v>8627474532</v>
          </cell>
          <cell r="F611" t="str">
            <v>Nguyễn Trung Hiếu</v>
          </cell>
          <cell r="N611">
            <v>35296</v>
          </cell>
          <cell r="Q611" t="str">
            <v>Nam</v>
          </cell>
          <cell r="S611" t="str">
            <v>VN</v>
          </cell>
          <cell r="AL611" t="str">
            <v>Thành phố Hà Nội</v>
          </cell>
        </row>
        <row r="612">
          <cell r="C612" t="str">
            <v>8627474589</v>
          </cell>
          <cell r="F612" t="str">
            <v>Ngô Văn Hoạt</v>
          </cell>
          <cell r="N612">
            <v>27323</v>
          </cell>
          <cell r="Q612" t="str">
            <v>Nam</v>
          </cell>
          <cell r="S612" t="str">
            <v>VN</v>
          </cell>
          <cell r="AL612" t="str">
            <v>Thành phố Hà Nội</v>
          </cell>
        </row>
        <row r="613">
          <cell r="C613" t="str">
            <v>8629253190</v>
          </cell>
          <cell r="F613" t="str">
            <v>Nguyễn Thanh Đạt</v>
          </cell>
          <cell r="N613">
            <v>35077</v>
          </cell>
          <cell r="Q613" t="str">
            <v>Nam</v>
          </cell>
          <cell r="S613" t="str">
            <v>VN</v>
          </cell>
          <cell r="AL613" t="str">
            <v>Thành phố Hà Nội</v>
          </cell>
        </row>
        <row r="614">
          <cell r="C614" t="str">
            <v>8629648093</v>
          </cell>
          <cell r="F614" t="str">
            <v>Ninh Thị Liên</v>
          </cell>
          <cell r="N614">
            <v>35084</v>
          </cell>
          <cell r="Q614" t="str">
            <v>Nữ</v>
          </cell>
          <cell r="S614" t="str">
            <v>VN</v>
          </cell>
          <cell r="AL614" t="str">
            <v>Thành phố Hà Nội</v>
          </cell>
        </row>
        <row r="615">
          <cell r="C615" t="str">
            <v>8629850334</v>
          </cell>
          <cell r="F615" t="str">
            <v>Nguyễn Thị Mỹ Linh</v>
          </cell>
          <cell r="N615">
            <v>35591</v>
          </cell>
          <cell r="Q615" t="str">
            <v>Nữ</v>
          </cell>
          <cell r="S615" t="str">
            <v>VN</v>
          </cell>
          <cell r="AL615" t="str">
            <v>Thành phố Hồ Chí Minh</v>
          </cell>
        </row>
        <row r="616">
          <cell r="C616" t="str">
            <v>8630107356</v>
          </cell>
          <cell r="F616" t="str">
            <v>Khuất Thị Trang</v>
          </cell>
          <cell r="N616">
            <v>37166</v>
          </cell>
          <cell r="Q616" t="str">
            <v>Nữ</v>
          </cell>
          <cell r="S616" t="str">
            <v>VN</v>
          </cell>
          <cell r="AL616" t="str">
            <v>Thành phố Hà Nội</v>
          </cell>
        </row>
        <row r="617">
          <cell r="C617" t="str">
            <v>8632055209</v>
          </cell>
          <cell r="F617" t="str">
            <v>Lý Thanh Hoà</v>
          </cell>
          <cell r="N617">
            <v>35379</v>
          </cell>
          <cell r="Q617" t="str">
            <v>Nam</v>
          </cell>
          <cell r="S617" t="str">
            <v>VN</v>
          </cell>
          <cell r="AL617" t="str">
            <v>Thành phố Hà Nội</v>
          </cell>
        </row>
        <row r="618">
          <cell r="C618" t="str">
            <v>8635067481</v>
          </cell>
          <cell r="F618" t="str">
            <v>Lê Quỳnh Chi</v>
          </cell>
          <cell r="N618">
            <v>36756</v>
          </cell>
          <cell r="Q618" t="str">
            <v>Nữ</v>
          </cell>
          <cell r="S618" t="str">
            <v>VN</v>
          </cell>
          <cell r="AL618" t="str">
            <v>Thành phố Hà Nội</v>
          </cell>
        </row>
        <row r="619">
          <cell r="C619" t="str">
            <v>8635137058</v>
          </cell>
          <cell r="F619" t="str">
            <v>Nguyễn Thị Thanh</v>
          </cell>
          <cell r="N619">
            <v>35071</v>
          </cell>
          <cell r="Q619" t="str">
            <v>Nữ</v>
          </cell>
          <cell r="S619" t="str">
            <v>VN</v>
          </cell>
          <cell r="AL619" t="str">
            <v>Thành phố Hà Nội</v>
          </cell>
        </row>
        <row r="620">
          <cell r="C620" t="str">
            <v>8636485354</v>
          </cell>
          <cell r="F620" t="str">
            <v>Trần Thị Thanh Quyên</v>
          </cell>
          <cell r="N620">
            <v>32577</v>
          </cell>
          <cell r="Q620" t="str">
            <v>Nữ</v>
          </cell>
          <cell r="S620" t="str">
            <v>VN</v>
          </cell>
          <cell r="AL620" t="str">
            <v>Thành phố Hà Nội</v>
          </cell>
        </row>
        <row r="621">
          <cell r="C621" t="str">
            <v>8640111023</v>
          </cell>
          <cell r="F621" t="str">
            <v>Trần Thị Hiền</v>
          </cell>
          <cell r="N621">
            <v>33079</v>
          </cell>
          <cell r="Q621" t="str">
            <v>Nữ</v>
          </cell>
          <cell r="S621" t="str">
            <v>VN</v>
          </cell>
          <cell r="AL621" t="str">
            <v>Thành phố Hà Nội</v>
          </cell>
        </row>
        <row r="622">
          <cell r="C622" t="str">
            <v>8640848145</v>
          </cell>
          <cell r="F622" t="str">
            <v>Nguyễn Thị Kim Trọng</v>
          </cell>
          <cell r="N622">
            <v>35623</v>
          </cell>
          <cell r="Q622" t="str">
            <v>Nữ</v>
          </cell>
          <cell r="S622" t="str">
            <v>VN</v>
          </cell>
          <cell r="AL622" t="str">
            <v>Thành phố Hồ Chí Minh</v>
          </cell>
        </row>
        <row r="623">
          <cell r="C623" t="str">
            <v>8641086690</v>
          </cell>
          <cell r="F623" t="str">
            <v>Nguyễn Văn Kiểm</v>
          </cell>
          <cell r="N623">
            <v>35769</v>
          </cell>
          <cell r="Q623" t="str">
            <v>Nam</v>
          </cell>
          <cell r="S623" t="str">
            <v>VN</v>
          </cell>
          <cell r="AL623" t="str">
            <v>Tỉnh Đắk Lắk</v>
          </cell>
        </row>
        <row r="624">
          <cell r="C624" t="str">
            <v>8641541131</v>
          </cell>
          <cell r="F624" t="str">
            <v>Đỗ Thị Mỹ Hạnh</v>
          </cell>
          <cell r="N624">
            <v>35858</v>
          </cell>
          <cell r="Q624" t="str">
            <v>Nữ</v>
          </cell>
          <cell r="S624" t="str">
            <v>VN</v>
          </cell>
          <cell r="AL624" t="str">
            <v>Thành phố Hà Nội</v>
          </cell>
        </row>
        <row r="625">
          <cell r="C625" t="str">
            <v>8641837435</v>
          </cell>
          <cell r="F625" t="str">
            <v>Thái Thị Phượng</v>
          </cell>
          <cell r="N625">
            <v>35923</v>
          </cell>
          <cell r="Q625" t="str">
            <v>Nữ</v>
          </cell>
          <cell r="S625" t="str">
            <v>VN</v>
          </cell>
          <cell r="AL625" t="str">
            <v>Thành phố Hà Nội</v>
          </cell>
        </row>
        <row r="626">
          <cell r="C626" t="str">
            <v>8643628116</v>
          </cell>
          <cell r="F626" t="str">
            <v>Nguyễn Văn Bình</v>
          </cell>
          <cell r="N626">
            <v>35066</v>
          </cell>
          <cell r="Q626" t="str">
            <v>Nam</v>
          </cell>
          <cell r="S626" t="str">
            <v>VN</v>
          </cell>
          <cell r="AL626" t="str">
            <v>Thành phố Hà Nội</v>
          </cell>
        </row>
        <row r="627">
          <cell r="C627" t="str">
            <v>8645035545</v>
          </cell>
          <cell r="F627" t="str">
            <v>Hồ Minh Tiến</v>
          </cell>
          <cell r="N627">
            <v>35488</v>
          </cell>
          <cell r="Q627" t="str">
            <v>Nam</v>
          </cell>
          <cell r="S627" t="str">
            <v>VN</v>
          </cell>
          <cell r="AL627" t="str">
            <v>Thành phố Hồ Chí Minh</v>
          </cell>
        </row>
        <row r="628">
          <cell r="C628" t="str">
            <v>8646443610</v>
          </cell>
          <cell r="F628" t="str">
            <v>Nguyễn Thị Thu Hà</v>
          </cell>
          <cell r="N628">
            <v>35265</v>
          </cell>
          <cell r="Q628" t="str">
            <v>Nữ</v>
          </cell>
          <cell r="S628" t="str">
            <v>VN</v>
          </cell>
          <cell r="AL628" t="str">
            <v>Thành phố Đà Nẵng</v>
          </cell>
        </row>
        <row r="629">
          <cell r="C629" t="str">
            <v>8647166889</v>
          </cell>
          <cell r="F629" t="str">
            <v>Đỗ Mai Hương</v>
          </cell>
          <cell r="N629">
            <v>35807</v>
          </cell>
          <cell r="Q629" t="str">
            <v>Nữ</v>
          </cell>
          <cell r="S629" t="str">
            <v>VN</v>
          </cell>
          <cell r="AL629" t="str">
            <v>Thành phố Hà Nội</v>
          </cell>
        </row>
        <row r="630">
          <cell r="C630" t="str">
            <v>8652837483</v>
          </cell>
          <cell r="F630" t="str">
            <v>Phan Long Trí</v>
          </cell>
          <cell r="N630">
            <v>36964</v>
          </cell>
          <cell r="Q630" t="str">
            <v>Nam</v>
          </cell>
          <cell r="S630" t="str">
            <v>VN</v>
          </cell>
          <cell r="AL630" t="str">
            <v>Thành phố Hồ Chí Minh</v>
          </cell>
        </row>
        <row r="631">
          <cell r="C631" t="str">
            <v>8656262130</v>
          </cell>
          <cell r="F631" t="str">
            <v>Phan Nguyễn Tú Anh</v>
          </cell>
          <cell r="N631">
            <v>37546</v>
          </cell>
          <cell r="Q631" t="str">
            <v>Nữ</v>
          </cell>
          <cell r="S631" t="str">
            <v>VN</v>
          </cell>
          <cell r="AL631" t="str">
            <v>Thành phố Hà Nội</v>
          </cell>
        </row>
        <row r="632">
          <cell r="C632" t="str">
            <v>8662064458</v>
          </cell>
          <cell r="F632" t="str">
            <v>Lý Phương Hạnh</v>
          </cell>
          <cell r="N632">
            <v>36799</v>
          </cell>
          <cell r="Q632" t="str">
            <v>Nữ</v>
          </cell>
          <cell r="S632" t="str">
            <v>VN</v>
          </cell>
          <cell r="AL632" t="str">
            <v>Thành phố Hà Nội</v>
          </cell>
        </row>
        <row r="633">
          <cell r="C633" t="str">
            <v>8662607922</v>
          </cell>
          <cell r="F633" t="str">
            <v>Mẫn Thị Hương Mai</v>
          </cell>
          <cell r="N633">
            <v>36828</v>
          </cell>
          <cell r="Q633" t="str">
            <v>Nữ</v>
          </cell>
          <cell r="S633" t="str">
            <v>VN</v>
          </cell>
          <cell r="AL633" t="str">
            <v>Thành phố Hà Nội</v>
          </cell>
        </row>
        <row r="634">
          <cell r="C634" t="str">
            <v>8664052708</v>
          </cell>
          <cell r="F634" t="str">
            <v>Nguyễn Thị Tuyết</v>
          </cell>
          <cell r="N634">
            <v>36344</v>
          </cell>
          <cell r="Q634" t="str">
            <v>Nữ</v>
          </cell>
          <cell r="S634" t="str">
            <v>VN</v>
          </cell>
          <cell r="AL634" t="str">
            <v>Thành phố Hà Nội</v>
          </cell>
        </row>
        <row r="635">
          <cell r="C635" t="str">
            <v>8665733918</v>
          </cell>
          <cell r="F635" t="str">
            <v>Nguyễn Quốc Huy</v>
          </cell>
          <cell r="N635">
            <v>37140</v>
          </cell>
          <cell r="Q635" t="str">
            <v>Nam</v>
          </cell>
          <cell r="S635" t="str">
            <v>VN</v>
          </cell>
          <cell r="AL635" t="str">
            <v>Thành phố Hồ Chí Minh</v>
          </cell>
        </row>
        <row r="636">
          <cell r="C636" t="str">
            <v>8666665717</v>
          </cell>
          <cell r="F636" t="str">
            <v>Trần Thị Minh Hải</v>
          </cell>
          <cell r="N636">
            <v>37523</v>
          </cell>
          <cell r="Q636" t="str">
            <v>Nữ</v>
          </cell>
          <cell r="S636" t="str">
            <v>VN</v>
          </cell>
          <cell r="AL636" t="str">
            <v>Thành phố Hà Nội</v>
          </cell>
        </row>
        <row r="637">
          <cell r="C637" t="str">
            <v>8668508131</v>
          </cell>
          <cell r="F637" t="str">
            <v>Vũ Tuấn Anh</v>
          </cell>
          <cell r="N637">
            <v>35599</v>
          </cell>
          <cell r="Q637" t="str">
            <v>Nam</v>
          </cell>
          <cell r="S637" t="str">
            <v>VN</v>
          </cell>
          <cell r="AL637" t="str">
            <v>Thành phố Hồ Chí Minh</v>
          </cell>
        </row>
        <row r="638">
          <cell r="C638" t="str">
            <v>8669108305</v>
          </cell>
          <cell r="F638" t="str">
            <v>Nguyễn Thị Mai Quyên</v>
          </cell>
          <cell r="N638">
            <v>36077</v>
          </cell>
          <cell r="Q638" t="str">
            <v>Nữ</v>
          </cell>
          <cell r="S638" t="str">
            <v>VN</v>
          </cell>
          <cell r="AL638" t="str">
            <v>Thành phố Hồ Chí Minh</v>
          </cell>
        </row>
        <row r="639">
          <cell r="C639" t="str">
            <v>8674672161</v>
          </cell>
          <cell r="F639" t="str">
            <v>Cao Lê Ngọc Anh</v>
          </cell>
          <cell r="N639">
            <v>36344</v>
          </cell>
          <cell r="Q639" t="str">
            <v>Nữ</v>
          </cell>
          <cell r="S639" t="str">
            <v>VN</v>
          </cell>
          <cell r="AL639" t="str">
            <v>Thành phố Hồ Chí Minh</v>
          </cell>
        </row>
        <row r="640">
          <cell r="C640" t="str">
            <v>8675500101</v>
          </cell>
          <cell r="F640" t="str">
            <v>La Thiên Thanh</v>
          </cell>
          <cell r="N640">
            <v>35686</v>
          </cell>
          <cell r="Q640" t="str">
            <v>Nữ</v>
          </cell>
          <cell r="S640" t="str">
            <v>VN</v>
          </cell>
          <cell r="AL640" t="str">
            <v>Thành phố Hồ Chí Minh</v>
          </cell>
        </row>
        <row r="641">
          <cell r="C641" t="str">
            <v>8678669522</v>
          </cell>
          <cell r="F641" t="str">
            <v>Nguyễn Thị Quỳnh Lan</v>
          </cell>
          <cell r="N641">
            <v>37427</v>
          </cell>
          <cell r="Q641" t="str">
            <v>Nữ</v>
          </cell>
          <cell r="S641" t="str">
            <v>VN</v>
          </cell>
          <cell r="AL641" t="str">
            <v>Thành phố Hồ Chí Minh</v>
          </cell>
        </row>
        <row r="642">
          <cell r="C642" t="str">
            <v>8679067739</v>
          </cell>
          <cell r="F642" t="str">
            <v>Hoàng Mai Loan</v>
          </cell>
          <cell r="N642">
            <v>37276</v>
          </cell>
          <cell r="Q642" t="str">
            <v>Nữ</v>
          </cell>
          <cell r="S642" t="str">
            <v>VN</v>
          </cell>
          <cell r="AL642" t="str">
            <v>Thành phố Hà Nội</v>
          </cell>
        </row>
        <row r="643">
          <cell r="C643" t="str">
            <v>8682043600</v>
          </cell>
          <cell r="F643" t="str">
            <v>Phan Thị Thanh Đông</v>
          </cell>
          <cell r="N643">
            <v>35732</v>
          </cell>
          <cell r="Q643" t="str">
            <v>Nữ</v>
          </cell>
          <cell r="S643" t="str">
            <v>VN</v>
          </cell>
          <cell r="AL643" t="str">
            <v>Thành phố Hồ Chí Minh</v>
          </cell>
        </row>
        <row r="644">
          <cell r="C644" t="str">
            <v>8683174370</v>
          </cell>
          <cell r="F644" t="str">
            <v>Chu Phương Thảo</v>
          </cell>
          <cell r="N644">
            <v>36094</v>
          </cell>
          <cell r="Q644" t="str">
            <v>Nữ</v>
          </cell>
          <cell r="S644" t="str">
            <v>VN</v>
          </cell>
          <cell r="AL644" t="str">
            <v>Thành phố Hà Nội</v>
          </cell>
        </row>
        <row r="645">
          <cell r="C645" t="str">
            <v>8683622600</v>
          </cell>
          <cell r="F645" t="str">
            <v>Vũ Thị Hiền</v>
          </cell>
          <cell r="N645">
            <v>34802</v>
          </cell>
          <cell r="Q645" t="str">
            <v>Nữ</v>
          </cell>
          <cell r="S645" t="str">
            <v>VN</v>
          </cell>
          <cell r="AL645" t="str">
            <v>Thành phố Hà Nội</v>
          </cell>
        </row>
        <row r="646">
          <cell r="C646" t="str">
            <v>8683931253</v>
          </cell>
          <cell r="F646" t="str">
            <v>Tôn Lan Hương</v>
          </cell>
          <cell r="N646">
            <v>33524</v>
          </cell>
          <cell r="Q646" t="str">
            <v>Nữ</v>
          </cell>
          <cell r="S646" t="str">
            <v>VN</v>
          </cell>
          <cell r="AL646" t="str">
            <v>Thành phố Hà Nội</v>
          </cell>
        </row>
        <row r="647">
          <cell r="C647" t="str">
            <v>8683954483</v>
          </cell>
          <cell r="F647" t="str">
            <v>Triệu Thị Bích Thu</v>
          </cell>
          <cell r="N647">
            <v>35317</v>
          </cell>
          <cell r="Q647" t="str">
            <v>Nữ</v>
          </cell>
          <cell r="S647" t="str">
            <v>VN</v>
          </cell>
          <cell r="AL647" t="str">
            <v>Thành phố Hà Nội</v>
          </cell>
        </row>
        <row r="648">
          <cell r="C648" t="str">
            <v>8685504391</v>
          </cell>
          <cell r="F648" t="str">
            <v>Bùi Văn Hải</v>
          </cell>
          <cell r="N648">
            <v>32883</v>
          </cell>
          <cell r="Q648" t="str">
            <v>Nam</v>
          </cell>
          <cell r="S648" t="str">
            <v>VN</v>
          </cell>
          <cell r="AL648" t="str">
            <v>Tỉnh Thừa Thiên Huế</v>
          </cell>
        </row>
        <row r="649">
          <cell r="C649" t="str">
            <v>8688553728</v>
          </cell>
          <cell r="F649" t="str">
            <v>Trần Mạnh Thắng</v>
          </cell>
          <cell r="N649">
            <v>36128</v>
          </cell>
          <cell r="Q649" t="str">
            <v>Nam</v>
          </cell>
          <cell r="S649" t="str">
            <v>VN</v>
          </cell>
          <cell r="AL649" t="str">
            <v>Thành phố Hà Nội</v>
          </cell>
        </row>
        <row r="650">
          <cell r="C650" t="str">
            <v>8688698843</v>
          </cell>
          <cell r="F650" t="str">
            <v>Phùng Đức Dương</v>
          </cell>
          <cell r="N650">
            <v>37012</v>
          </cell>
          <cell r="Q650" t="str">
            <v>Nam</v>
          </cell>
          <cell r="S650" t="str">
            <v>VN</v>
          </cell>
          <cell r="AL650" t="str">
            <v>Thành phố Hà Nội</v>
          </cell>
        </row>
        <row r="651">
          <cell r="C651" t="str">
            <v>8689484805</v>
          </cell>
          <cell r="F651" t="str">
            <v>Lê Nguyễn Hải Triều</v>
          </cell>
          <cell r="N651">
            <v>36172</v>
          </cell>
          <cell r="Q651" t="str">
            <v>Nam</v>
          </cell>
          <cell r="S651" t="str">
            <v>VN</v>
          </cell>
          <cell r="AL651" t="str">
            <v>Thành phố Hồ Chí Minh</v>
          </cell>
        </row>
        <row r="652">
          <cell r="C652" t="str">
            <v>8690283451</v>
          </cell>
          <cell r="F652" t="str">
            <v>Huỳnh Thị Như Ý</v>
          </cell>
          <cell r="N652">
            <v>35780</v>
          </cell>
          <cell r="Q652" t="str">
            <v>Nữ</v>
          </cell>
          <cell r="S652" t="str">
            <v>VN</v>
          </cell>
          <cell r="AL652" t="str">
            <v>Thành phố Hồ Chí Minh</v>
          </cell>
        </row>
        <row r="653">
          <cell r="C653" t="str">
            <v>8690496146</v>
          </cell>
          <cell r="F653" t="str">
            <v>Trần Thị Bích Hồng</v>
          </cell>
          <cell r="N653">
            <v>33098</v>
          </cell>
          <cell r="Q653" t="str">
            <v>Nữ</v>
          </cell>
          <cell r="S653" t="str">
            <v>VN</v>
          </cell>
          <cell r="AL653" t="str">
            <v>Thành phố Hà Nội</v>
          </cell>
        </row>
        <row r="654">
          <cell r="C654" t="str">
            <v>8691682522</v>
          </cell>
          <cell r="F654" t="str">
            <v>Nguyễn Thị Yến</v>
          </cell>
          <cell r="N654">
            <v>36551</v>
          </cell>
          <cell r="Q654" t="str">
            <v>Nữ</v>
          </cell>
          <cell r="S654" t="str">
            <v>VN</v>
          </cell>
          <cell r="AL654" t="str">
            <v>Thành phố Hà Nội</v>
          </cell>
        </row>
        <row r="655">
          <cell r="C655" t="str">
            <v>8692313694</v>
          </cell>
          <cell r="F655" t="str">
            <v>Hoàng Trọng Nam</v>
          </cell>
          <cell r="N655">
            <v>35703</v>
          </cell>
          <cell r="Q655" t="str">
            <v>Nam</v>
          </cell>
          <cell r="S655" t="str">
            <v>VN</v>
          </cell>
          <cell r="AL655" t="str">
            <v>Tỉnh Thanh Hóa</v>
          </cell>
        </row>
        <row r="656">
          <cell r="C656" t="str">
            <v>8692368005</v>
          </cell>
          <cell r="F656" t="str">
            <v>Dương Minh Hoàng</v>
          </cell>
          <cell r="N656">
            <v>35070</v>
          </cell>
          <cell r="Q656" t="str">
            <v>Nam</v>
          </cell>
          <cell r="S656" t="str">
            <v>VN</v>
          </cell>
          <cell r="AL656" t="str">
            <v>Thành phố Hà Nội</v>
          </cell>
        </row>
        <row r="657">
          <cell r="C657" t="str">
            <v>8694113556</v>
          </cell>
          <cell r="F657" t="str">
            <v>Trần Thị Huệ</v>
          </cell>
          <cell r="N657">
            <v>35443</v>
          </cell>
          <cell r="Q657" t="str">
            <v>Nữ</v>
          </cell>
          <cell r="S657" t="str">
            <v>VN</v>
          </cell>
          <cell r="AL657" t="str">
            <v>Thành phố Hồ Chí Minh</v>
          </cell>
        </row>
        <row r="658">
          <cell r="C658" t="str">
            <v>8694248507</v>
          </cell>
          <cell r="F658" t="str">
            <v>Nguyễn Thuỳ Linh</v>
          </cell>
          <cell r="N658">
            <v>33291</v>
          </cell>
          <cell r="Q658" t="str">
            <v>Nữ</v>
          </cell>
          <cell r="S658" t="str">
            <v>VN</v>
          </cell>
          <cell r="AL658" t="str">
            <v>Thành phố Hà Nội</v>
          </cell>
        </row>
        <row r="659">
          <cell r="C659" t="str">
            <v>8700130584</v>
          </cell>
          <cell r="F659" t="str">
            <v>Trương Thị Thanh Thuỷ</v>
          </cell>
          <cell r="N659">
            <v>36009</v>
          </cell>
          <cell r="Q659" t="str">
            <v>Nữ</v>
          </cell>
          <cell r="S659" t="str">
            <v>VN</v>
          </cell>
          <cell r="AL659" t="str">
            <v>Thành phố Hà Nội</v>
          </cell>
        </row>
        <row r="660">
          <cell r="C660" t="str">
            <v>8701801796</v>
          </cell>
          <cell r="F660" t="str">
            <v>Vũ Thị Thảo</v>
          </cell>
          <cell r="N660">
            <v>35583</v>
          </cell>
          <cell r="Q660" t="str">
            <v>Nữ</v>
          </cell>
          <cell r="S660" t="str">
            <v>VN</v>
          </cell>
          <cell r="AL660" t="str">
            <v>Thành phố Hà Nội</v>
          </cell>
        </row>
        <row r="661">
          <cell r="C661" t="str">
            <v>8706116089</v>
          </cell>
          <cell r="F661" t="str">
            <v>Nguyễn Thị Huyền Chang</v>
          </cell>
          <cell r="N661">
            <v>36394</v>
          </cell>
          <cell r="Q661" t="str">
            <v>Nữ</v>
          </cell>
          <cell r="S661" t="str">
            <v>VN</v>
          </cell>
          <cell r="AL661" t="str">
            <v>Thành phố Hà Nội</v>
          </cell>
        </row>
        <row r="662">
          <cell r="C662" t="str">
            <v>8712713439</v>
          </cell>
          <cell r="F662" t="str">
            <v>Nguyễn Văn Huy</v>
          </cell>
          <cell r="N662">
            <v>32831</v>
          </cell>
          <cell r="Q662" t="str">
            <v>Nam</v>
          </cell>
          <cell r="S662" t="str">
            <v>VN</v>
          </cell>
          <cell r="AL662" t="str">
            <v>Thành phố Hà Nội</v>
          </cell>
        </row>
        <row r="663">
          <cell r="C663" t="str">
            <v>8717516674</v>
          </cell>
          <cell r="F663" t="str">
            <v>Nguyễn Quỳnh Trang</v>
          </cell>
          <cell r="N663">
            <v>37756</v>
          </cell>
          <cell r="Q663" t="str">
            <v>Nữ</v>
          </cell>
          <cell r="S663" t="str">
            <v>VN</v>
          </cell>
          <cell r="AL663" t="str">
            <v>Thành phố Hà Nội</v>
          </cell>
        </row>
        <row r="664">
          <cell r="C664" t="str">
            <v>8730515207</v>
          </cell>
          <cell r="F664" t="str">
            <v>Ngô Thị Hải Yến</v>
          </cell>
          <cell r="N664">
            <v>36362</v>
          </cell>
          <cell r="Q664" t="str">
            <v>Nữ</v>
          </cell>
          <cell r="S664" t="str">
            <v>VN</v>
          </cell>
          <cell r="AL664" t="str">
            <v>Thành phố Hà Nội</v>
          </cell>
        </row>
        <row r="665">
          <cell r="C665" t="str">
            <v>8731179808</v>
          </cell>
          <cell r="F665" t="str">
            <v>Nguyễn Thị Quỳnh Châu</v>
          </cell>
          <cell r="N665">
            <v>36914</v>
          </cell>
          <cell r="Q665" t="str">
            <v>Nữ</v>
          </cell>
          <cell r="S665" t="str">
            <v>VN</v>
          </cell>
          <cell r="AL665" t="str">
            <v>Thành phố Hồ Chí Minh</v>
          </cell>
        </row>
        <row r="666">
          <cell r="C666" t="str">
            <v>8731437167</v>
          </cell>
          <cell r="F666" t="str">
            <v>Nguyễn Thị Ngọc Hằng</v>
          </cell>
          <cell r="N666">
            <v>35849</v>
          </cell>
          <cell r="Q666" t="str">
            <v>Nữ</v>
          </cell>
          <cell r="S666" t="str">
            <v>VN</v>
          </cell>
          <cell r="AL666" t="str">
            <v>Thành phố Hồ Chí Minh</v>
          </cell>
        </row>
        <row r="667">
          <cell r="C667" t="str">
            <v>8733185243</v>
          </cell>
          <cell r="F667" t="str">
            <v>Bùi Quốc Vũ</v>
          </cell>
          <cell r="N667">
            <v>35754</v>
          </cell>
          <cell r="Q667" t="str">
            <v>Nam</v>
          </cell>
          <cell r="S667" t="str">
            <v>VN</v>
          </cell>
          <cell r="AL667" t="str">
            <v>Thành phố Hồ Chí Minh</v>
          </cell>
        </row>
        <row r="668">
          <cell r="C668" t="str">
            <v>8734505087</v>
          </cell>
          <cell r="F668" t="str">
            <v>Nguyễn Vũ Hoàng Anh</v>
          </cell>
          <cell r="N668">
            <v>35986</v>
          </cell>
          <cell r="Q668" t="str">
            <v>Nữ</v>
          </cell>
          <cell r="S668" t="str">
            <v>VN</v>
          </cell>
          <cell r="AL668" t="str">
            <v>Thành phố Hà Nội</v>
          </cell>
        </row>
        <row r="669">
          <cell r="C669" t="str">
            <v>8734679365</v>
          </cell>
          <cell r="F669" t="str">
            <v>Đặng Thùy Dương</v>
          </cell>
          <cell r="N669">
            <v>37550</v>
          </cell>
          <cell r="Q669" t="str">
            <v>Nữ</v>
          </cell>
          <cell r="S669" t="str">
            <v>VN</v>
          </cell>
          <cell r="AL669" t="str">
            <v>Thành phố Hà Nội</v>
          </cell>
        </row>
        <row r="670">
          <cell r="C670" t="str">
            <v>8740516584</v>
          </cell>
          <cell r="F670" t="str">
            <v>Phạm Văn Hiệp</v>
          </cell>
          <cell r="N670">
            <v>37482</v>
          </cell>
          <cell r="Q670" t="str">
            <v>Nam</v>
          </cell>
          <cell r="S670" t="str">
            <v>VN</v>
          </cell>
          <cell r="AL670" t="str">
            <v>Thành phố Hà Nội</v>
          </cell>
        </row>
        <row r="671">
          <cell r="C671" t="str">
            <v>8740748779</v>
          </cell>
          <cell r="F671" t="str">
            <v>Đỗ Xuân Hải</v>
          </cell>
          <cell r="N671">
            <v>36329</v>
          </cell>
          <cell r="Q671" t="str">
            <v>Nam</v>
          </cell>
          <cell r="S671" t="str">
            <v>VN</v>
          </cell>
          <cell r="AL671" t="str">
            <v>Thành phố Hà Nội</v>
          </cell>
        </row>
        <row r="672">
          <cell r="C672" t="str">
            <v>8741439646</v>
          </cell>
          <cell r="F672" t="str">
            <v>Trương Thị Huỳnh Như</v>
          </cell>
          <cell r="N672">
            <v>36445</v>
          </cell>
          <cell r="Q672" t="str">
            <v>Nữ</v>
          </cell>
          <cell r="S672" t="str">
            <v>VN</v>
          </cell>
          <cell r="AL672" t="str">
            <v>Thành phố Hồ Chí Minh</v>
          </cell>
        </row>
        <row r="673">
          <cell r="C673" t="str">
            <v>8741608301</v>
          </cell>
          <cell r="F673" t="str">
            <v>Đỗ Tiến France</v>
          </cell>
          <cell r="N673">
            <v>36163</v>
          </cell>
          <cell r="Q673" t="str">
            <v>Nam</v>
          </cell>
          <cell r="S673" t="str">
            <v>VN</v>
          </cell>
          <cell r="AL673" t="str">
            <v>Thành phố Hồ Chí Minh</v>
          </cell>
        </row>
        <row r="674">
          <cell r="C674" t="str">
            <v>8743141238</v>
          </cell>
          <cell r="F674" t="str">
            <v>Đào Thị Phương Nhung</v>
          </cell>
          <cell r="N674">
            <v>36466</v>
          </cell>
          <cell r="Q674" t="str">
            <v>Nữ</v>
          </cell>
          <cell r="S674" t="str">
            <v>VN</v>
          </cell>
          <cell r="AL674" t="str">
            <v>Thành phố Hồ Chí Minh</v>
          </cell>
        </row>
        <row r="675">
          <cell r="C675" t="str">
            <v>8743348909</v>
          </cell>
          <cell r="F675" t="str">
            <v>Nguyễn Minh Quang</v>
          </cell>
          <cell r="N675">
            <v>35180</v>
          </cell>
          <cell r="Q675" t="str">
            <v>Nam</v>
          </cell>
          <cell r="S675" t="str">
            <v>VN</v>
          </cell>
          <cell r="AL675" t="str">
            <v>Thành phố Cần Thơ</v>
          </cell>
        </row>
        <row r="676">
          <cell r="C676" t="str">
            <v>8744615385</v>
          </cell>
          <cell r="F676" t="str">
            <v>Bùi Thanh Thuỷ</v>
          </cell>
          <cell r="N676">
            <v>33075</v>
          </cell>
          <cell r="Q676" t="str">
            <v>Nữ</v>
          </cell>
          <cell r="S676" t="str">
            <v>VN</v>
          </cell>
          <cell r="AL676" t="str">
            <v>Thành phố Hà Nội</v>
          </cell>
        </row>
        <row r="677">
          <cell r="C677" t="str">
            <v>8755247479</v>
          </cell>
          <cell r="F677" t="str">
            <v>Đinh Văn Vinh</v>
          </cell>
          <cell r="N677">
            <v>36772</v>
          </cell>
          <cell r="Q677" t="str">
            <v>Nam</v>
          </cell>
          <cell r="S677" t="str">
            <v>VN</v>
          </cell>
          <cell r="AL677" t="str">
            <v>Thành phố Hà Nội</v>
          </cell>
        </row>
        <row r="678">
          <cell r="C678" t="str">
            <v>8756454238</v>
          </cell>
          <cell r="F678" t="str">
            <v>Lê Trung Hải</v>
          </cell>
          <cell r="N678">
            <v>35903</v>
          </cell>
          <cell r="Q678" t="str">
            <v>Nam</v>
          </cell>
          <cell r="S678" t="str">
            <v>VN</v>
          </cell>
          <cell r="AL678" t="str">
            <v>Thành phố Hồ Chí Minh</v>
          </cell>
        </row>
        <row r="679">
          <cell r="C679" t="str">
            <v>8756463793</v>
          </cell>
          <cell r="F679" t="str">
            <v>Trần Văn Nghĩa</v>
          </cell>
          <cell r="N679">
            <v>36974</v>
          </cell>
          <cell r="Q679" t="str">
            <v>Nam</v>
          </cell>
          <cell r="S679" t="str">
            <v>VN</v>
          </cell>
          <cell r="AL679" t="str">
            <v>Thành phố Hồ Chí Minh</v>
          </cell>
        </row>
        <row r="680">
          <cell r="C680" t="str">
            <v>8758666358</v>
          </cell>
          <cell r="F680" t="str">
            <v>Trần Minh Luân</v>
          </cell>
          <cell r="N680">
            <v>36709</v>
          </cell>
          <cell r="Q680" t="str">
            <v>Nam</v>
          </cell>
          <cell r="S680" t="str">
            <v>VN</v>
          </cell>
          <cell r="AL680" t="str">
            <v>Thành phố Hồ Chí Minh</v>
          </cell>
        </row>
        <row r="681">
          <cell r="C681" t="str">
            <v>8759329972</v>
          </cell>
          <cell r="F681" t="str">
            <v>Vũ Mạnh Tuấn</v>
          </cell>
          <cell r="N681">
            <v>37397</v>
          </cell>
          <cell r="Q681" t="str">
            <v>Nam</v>
          </cell>
          <cell r="S681" t="str">
            <v>VN</v>
          </cell>
          <cell r="AL681" t="str">
            <v>Thành phố Hà Nội</v>
          </cell>
        </row>
        <row r="682">
          <cell r="C682" t="str">
            <v>8761558722</v>
          </cell>
          <cell r="F682" t="str">
            <v>Nguyễn Cát Tường</v>
          </cell>
          <cell r="N682">
            <v>36877</v>
          </cell>
          <cell r="Q682" t="str">
            <v>Nam</v>
          </cell>
          <cell r="S682" t="str">
            <v>VN</v>
          </cell>
          <cell r="AL682" t="str">
            <v>Thành phố Hồ Chí Minh</v>
          </cell>
        </row>
        <row r="683">
          <cell r="C683" t="str">
            <v>8762494278</v>
          </cell>
          <cell r="F683" t="str">
            <v>Trần Ngọc Ngân</v>
          </cell>
          <cell r="N683">
            <v>36741</v>
          </cell>
          <cell r="Q683" t="str">
            <v>Nữ</v>
          </cell>
          <cell r="S683" t="str">
            <v>VN</v>
          </cell>
          <cell r="AL683" t="str">
            <v>Thành phố Hồ Chí Minh</v>
          </cell>
        </row>
        <row r="684">
          <cell r="C684" t="str">
            <v>8763122554</v>
          </cell>
          <cell r="F684" t="str">
            <v>Phan Đình Huy</v>
          </cell>
          <cell r="N684">
            <v>36826</v>
          </cell>
          <cell r="Q684" t="str">
            <v>Nam</v>
          </cell>
          <cell r="S684" t="str">
            <v>VN</v>
          </cell>
          <cell r="AL684" t="str">
            <v>Thành phố Hồ Chí Minh</v>
          </cell>
        </row>
        <row r="685">
          <cell r="C685" t="str">
            <v>8763798455</v>
          </cell>
          <cell r="F685" t="str">
            <v>Vũ Thiên Lý</v>
          </cell>
          <cell r="N685">
            <v>37117</v>
          </cell>
          <cell r="Q685" t="str">
            <v>Nữ</v>
          </cell>
          <cell r="S685" t="str">
            <v>VN</v>
          </cell>
          <cell r="AL685" t="str">
            <v>Thành phố Hồ Chí Minh</v>
          </cell>
        </row>
        <row r="686">
          <cell r="C686" t="str">
            <v>8764046747</v>
          </cell>
          <cell r="F686" t="str">
            <v>Đỗ Chung Đỉnh</v>
          </cell>
          <cell r="N686">
            <v>36457</v>
          </cell>
          <cell r="Q686" t="str">
            <v>Nam</v>
          </cell>
          <cell r="S686" t="str">
            <v>VN</v>
          </cell>
          <cell r="AL686" t="str">
            <v>Thành phố Hồ Chí Minh</v>
          </cell>
        </row>
        <row r="687">
          <cell r="C687" t="str">
            <v>8765766466</v>
          </cell>
          <cell r="F687" t="str">
            <v>Nguyễn Thị Thanh Trúc</v>
          </cell>
          <cell r="N687">
            <v>37863</v>
          </cell>
          <cell r="Q687" t="str">
            <v>Nữ</v>
          </cell>
          <cell r="S687" t="str">
            <v>VN</v>
          </cell>
          <cell r="AL687" t="str">
            <v>Thành phố Hồ Chí Minh</v>
          </cell>
        </row>
        <row r="688">
          <cell r="C688" t="str">
            <v>8767505678</v>
          </cell>
          <cell r="F688" t="str">
            <v>Nguyễn Viết Cường</v>
          </cell>
          <cell r="N688">
            <v>36196</v>
          </cell>
          <cell r="Q688" t="str">
            <v>Nam</v>
          </cell>
          <cell r="S688" t="str">
            <v>VN</v>
          </cell>
          <cell r="AL688" t="str">
            <v>Thành phố Hồ Chí Minh</v>
          </cell>
        </row>
        <row r="689">
          <cell r="C689" t="str">
            <v>8774765564</v>
          </cell>
          <cell r="F689" t="str">
            <v>Lý Lê Huy</v>
          </cell>
          <cell r="N689">
            <v>37311</v>
          </cell>
          <cell r="Q689" t="str">
            <v>Nam</v>
          </cell>
          <cell r="S689" t="str">
            <v>VN</v>
          </cell>
          <cell r="AL689" t="str">
            <v>Tỉnh Cà Mau</v>
          </cell>
        </row>
        <row r="690">
          <cell r="C690" t="str">
            <v>8776847974</v>
          </cell>
          <cell r="F690" t="str">
            <v>Bùi Văn Huy</v>
          </cell>
          <cell r="N690">
            <v>36988</v>
          </cell>
          <cell r="Q690" t="str">
            <v>Nam</v>
          </cell>
          <cell r="S690" t="str">
            <v>VN</v>
          </cell>
          <cell r="AL690" t="str">
            <v>Tỉnh Thừa Thiên Huế</v>
          </cell>
        </row>
        <row r="691">
          <cell r="C691" t="str">
            <v>8777564520</v>
          </cell>
          <cell r="F691" t="str">
            <v>Phan Gia Bảo</v>
          </cell>
          <cell r="N691">
            <v>37087</v>
          </cell>
          <cell r="Q691" t="str">
            <v>Nam</v>
          </cell>
          <cell r="S691" t="str">
            <v>VN</v>
          </cell>
          <cell r="AL691" t="str">
            <v>Thành phố Hồ Chí Minh</v>
          </cell>
        </row>
        <row r="692">
          <cell r="C692" t="str">
            <v>8777620630</v>
          </cell>
          <cell r="F692" t="str">
            <v>Đoàn Văn Quý</v>
          </cell>
          <cell r="N692">
            <v>36083</v>
          </cell>
          <cell r="Q692" t="str">
            <v>Nam</v>
          </cell>
          <cell r="S692" t="str">
            <v>VN</v>
          </cell>
          <cell r="AL692" t="str">
            <v>Thành phố Hà Nội</v>
          </cell>
        </row>
        <row r="693">
          <cell r="C693" t="str">
            <v>8777877442</v>
          </cell>
          <cell r="F693" t="str">
            <v>Nguyễn Thanh Thắng</v>
          </cell>
          <cell r="N693">
            <v>36634</v>
          </cell>
          <cell r="Q693" t="str">
            <v>Nam</v>
          </cell>
          <cell r="S693" t="str">
            <v>VN</v>
          </cell>
          <cell r="AL693" t="str">
            <v>Thành phố Hồ Chí Minh</v>
          </cell>
        </row>
        <row r="694">
          <cell r="C694" t="str">
            <v>8779234447</v>
          </cell>
          <cell r="F694" t="str">
            <v>Trần Thu Hà</v>
          </cell>
          <cell r="N694">
            <v>36633</v>
          </cell>
          <cell r="Q694" t="str">
            <v>Nữ</v>
          </cell>
          <cell r="S694" t="str">
            <v>VN</v>
          </cell>
          <cell r="AL694" t="str">
            <v>Thành phố Hà Nội</v>
          </cell>
        </row>
        <row r="695">
          <cell r="C695" t="str">
            <v>8779573295</v>
          </cell>
          <cell r="F695" t="str">
            <v>Lê Quang Huy</v>
          </cell>
          <cell r="N695">
            <v>36206</v>
          </cell>
          <cell r="Q695" t="str">
            <v>Nam</v>
          </cell>
          <cell r="S695" t="str">
            <v>VN</v>
          </cell>
          <cell r="AL695" t="str">
            <v>Thành phố Hà Nội</v>
          </cell>
        </row>
        <row r="696">
          <cell r="C696" t="str">
            <v>8782754929</v>
          </cell>
          <cell r="F696" t="str">
            <v>Nguyễn Thu Phương</v>
          </cell>
          <cell r="N696">
            <v>37205</v>
          </cell>
          <cell r="Q696" t="str">
            <v>Nữ</v>
          </cell>
          <cell r="S696" t="str">
            <v>VN</v>
          </cell>
          <cell r="AL696" t="str">
            <v>Thành phố Hà Nội</v>
          </cell>
        </row>
        <row r="697">
          <cell r="C697" t="str">
            <v>8782987715</v>
          </cell>
          <cell r="F697" t="str">
            <v>Đàm Thị Duyên</v>
          </cell>
          <cell r="N697">
            <v>36947</v>
          </cell>
          <cell r="Q697" t="str">
            <v>Nữ</v>
          </cell>
          <cell r="S697" t="str">
            <v>VN</v>
          </cell>
          <cell r="AL697" t="str">
            <v>Thành phố Hồ Chí Minh</v>
          </cell>
        </row>
        <row r="698">
          <cell r="C698" t="str">
            <v>8788479235</v>
          </cell>
          <cell r="F698" t="str">
            <v>Đặng Minh Tú</v>
          </cell>
          <cell r="N698">
            <v>36285</v>
          </cell>
          <cell r="Q698" t="str">
            <v>Nam</v>
          </cell>
          <cell r="S698" t="str">
            <v>VN</v>
          </cell>
          <cell r="AL698" t="str">
            <v>Thành phố Hồ Chí Minh</v>
          </cell>
        </row>
        <row r="699">
          <cell r="C699" t="str">
            <v>8788751515</v>
          </cell>
          <cell r="F699" t="str">
            <v>Bùi Thị Thơm</v>
          </cell>
          <cell r="N699">
            <v>36321</v>
          </cell>
          <cell r="Q699" t="str">
            <v>Nữ</v>
          </cell>
          <cell r="S699" t="str">
            <v>VN</v>
          </cell>
          <cell r="AL699" t="str">
            <v>Thành phố Hồ Chí Minh</v>
          </cell>
        </row>
        <row r="700">
          <cell r="C700" t="str">
            <v>8789903129</v>
          </cell>
          <cell r="F700" t="str">
            <v>Nguyễn Nữ Hoàng Khánh</v>
          </cell>
          <cell r="N700">
            <v>37866</v>
          </cell>
          <cell r="Q700" t="str">
            <v>Nữ</v>
          </cell>
          <cell r="S700" t="str">
            <v>VN</v>
          </cell>
          <cell r="AL700" t="str">
            <v>Thành phố Hồ Chí Minh</v>
          </cell>
        </row>
        <row r="701">
          <cell r="C701" t="str">
            <v>8790216096</v>
          </cell>
          <cell r="F701" t="str">
            <v>Trần Thanh Tú</v>
          </cell>
          <cell r="N701">
            <v>36686</v>
          </cell>
          <cell r="Q701" t="str">
            <v>Nam</v>
          </cell>
          <cell r="S701" t="str">
            <v>VN</v>
          </cell>
          <cell r="AL701" t="str">
            <v>Thành phố Hà Nội</v>
          </cell>
        </row>
        <row r="702">
          <cell r="C702" t="str">
            <v>8792195349</v>
          </cell>
          <cell r="F702" t="str">
            <v>Hoàng Vân Quỳnh</v>
          </cell>
          <cell r="N702">
            <v>36963</v>
          </cell>
          <cell r="Q702" t="str">
            <v>Nữ</v>
          </cell>
          <cell r="S702" t="str">
            <v>VN</v>
          </cell>
          <cell r="AL702" t="str">
            <v>Thành phố Hồ Chí Minh</v>
          </cell>
        </row>
        <row r="703">
          <cell r="C703" t="str">
            <v>8792837613</v>
          </cell>
          <cell r="F703" t="str">
            <v>Nguyễn Thị Kiều Diễm</v>
          </cell>
          <cell r="N703">
            <v>36811</v>
          </cell>
          <cell r="Q703" t="str">
            <v>Nữ</v>
          </cell>
          <cell r="S703" t="str">
            <v>VN</v>
          </cell>
          <cell r="AL703" t="str">
            <v>Thành phố Hà Nội</v>
          </cell>
        </row>
        <row r="704">
          <cell r="C704" t="str">
            <v>8793270408</v>
          </cell>
          <cell r="F704" t="str">
            <v>Phan Thị Thanh Nhàn</v>
          </cell>
          <cell r="N704">
            <v>36325</v>
          </cell>
          <cell r="Q704" t="str">
            <v>Nữ</v>
          </cell>
          <cell r="S704" t="str">
            <v>VN</v>
          </cell>
          <cell r="AL704" t="str">
            <v>Thành phố Hà Nội</v>
          </cell>
        </row>
        <row r="705">
          <cell r="C705" t="str">
            <v>8795451248</v>
          </cell>
          <cell r="F705" t="str">
            <v>Nguyễn Thị Thúy Loan</v>
          </cell>
          <cell r="N705">
            <v>36161</v>
          </cell>
          <cell r="Q705" t="str">
            <v>Nữ</v>
          </cell>
          <cell r="S705" t="str">
            <v>VN</v>
          </cell>
          <cell r="AL705" t="str">
            <v>Thành phố Hồ Chí Minh</v>
          </cell>
        </row>
        <row r="706">
          <cell r="C706" t="str">
            <v>8804745127</v>
          </cell>
          <cell r="F706" t="str">
            <v>Nguyễn Tuấn Anh</v>
          </cell>
          <cell r="N706">
            <v>37616</v>
          </cell>
          <cell r="Q706" t="str">
            <v>Nam</v>
          </cell>
          <cell r="S706" t="str">
            <v>VN</v>
          </cell>
          <cell r="AL706" t="str">
            <v>Thành phố Hà Nội</v>
          </cell>
        </row>
        <row r="707">
          <cell r="C707" t="str">
            <v>8807032131</v>
          </cell>
          <cell r="F707" t="str">
            <v>Nguyễn Thị Hải Uyên</v>
          </cell>
          <cell r="N707">
            <v>37116</v>
          </cell>
          <cell r="Q707" t="str">
            <v>Nữ</v>
          </cell>
          <cell r="S707" t="str">
            <v>VN</v>
          </cell>
          <cell r="AL707" t="str">
            <v>Thành phố Hồ Chí Minh</v>
          </cell>
        </row>
        <row r="708">
          <cell r="C708" t="str">
            <v>8807311294</v>
          </cell>
          <cell r="F708" t="str">
            <v>Nguyễn Thành Tâm</v>
          </cell>
          <cell r="N708">
            <v>36585</v>
          </cell>
          <cell r="Q708" t="str">
            <v>Nam</v>
          </cell>
          <cell r="S708" t="str">
            <v>VN</v>
          </cell>
          <cell r="AL708" t="str">
            <v>Thành phố Hồ Chí Minh</v>
          </cell>
        </row>
        <row r="709">
          <cell r="C709" t="str">
            <v>8807772993</v>
          </cell>
          <cell r="F709" t="str">
            <v>Chiêm Công Trấn</v>
          </cell>
          <cell r="N709">
            <v>30874</v>
          </cell>
          <cell r="Q709" t="str">
            <v>Nam</v>
          </cell>
          <cell r="S709" t="str">
            <v>VN</v>
          </cell>
          <cell r="AL709" t="str">
            <v>Thành phố Hồ Chí Minh</v>
          </cell>
        </row>
        <row r="710">
          <cell r="C710" t="str">
            <v>8809576708</v>
          </cell>
          <cell r="F710" t="str">
            <v>Nguyễn Thị Hiền</v>
          </cell>
          <cell r="N710">
            <v>36162</v>
          </cell>
          <cell r="Q710" t="str">
            <v>Nữ</v>
          </cell>
          <cell r="S710" t="str">
            <v>VN</v>
          </cell>
          <cell r="AL710" t="str">
            <v>Thành phố Hà Nội</v>
          </cell>
        </row>
        <row r="711">
          <cell r="C711" t="str">
            <v>8809617344</v>
          </cell>
          <cell r="F711" t="str">
            <v>Nguyễn Thị Như</v>
          </cell>
          <cell r="N711">
            <v>36697</v>
          </cell>
          <cell r="Q711" t="str">
            <v>Nữ</v>
          </cell>
          <cell r="S711" t="str">
            <v>VN</v>
          </cell>
          <cell r="AL711" t="str">
            <v>Thành phố Hồ Chí Minh</v>
          </cell>
        </row>
        <row r="712">
          <cell r="C712" t="str">
            <v>8815326216</v>
          </cell>
          <cell r="F712" t="str">
            <v>Trần Thị Phương Thanh</v>
          </cell>
          <cell r="N712">
            <v>36751</v>
          </cell>
          <cell r="Q712" t="str">
            <v>Nữ</v>
          </cell>
          <cell r="S712" t="str">
            <v>VN</v>
          </cell>
          <cell r="AL712" t="str">
            <v>Thành phố Hà Nội</v>
          </cell>
        </row>
        <row r="713">
          <cell r="C713" t="str">
            <v>8815832815</v>
          </cell>
          <cell r="F713" t="str">
            <v>Vũ Thị Uyên</v>
          </cell>
          <cell r="N713">
            <v>36704</v>
          </cell>
          <cell r="Q713" t="str">
            <v>Nữ</v>
          </cell>
          <cell r="S713" t="str">
            <v>VN</v>
          </cell>
          <cell r="AL713" t="str">
            <v>Thành phố Đà Nẵng</v>
          </cell>
        </row>
        <row r="714">
          <cell r="C714" t="str">
            <v>8815832854</v>
          </cell>
          <cell r="F714" t="str">
            <v>Phạm Nữ Ngọc Châu</v>
          </cell>
          <cell r="N714">
            <v>36109</v>
          </cell>
          <cell r="Q714" t="str">
            <v>Nữ</v>
          </cell>
          <cell r="S714" t="str">
            <v>VN</v>
          </cell>
          <cell r="AL714" t="str">
            <v>Thành phố Đà Nẵng</v>
          </cell>
        </row>
        <row r="715">
          <cell r="C715" t="str">
            <v>8816077273</v>
          </cell>
          <cell r="F715" t="str">
            <v>Phạm Thu Hiền</v>
          </cell>
          <cell r="N715">
            <v>36953</v>
          </cell>
          <cell r="Q715" t="str">
            <v>Nữ</v>
          </cell>
          <cell r="S715" t="str">
            <v>VN</v>
          </cell>
          <cell r="AL715" t="str">
            <v>Thành phố Hà Nội</v>
          </cell>
        </row>
        <row r="716">
          <cell r="C716" t="str">
            <v>8820594531</v>
          </cell>
          <cell r="F716" t="str">
            <v>Nguyễn Thị Kim Chi</v>
          </cell>
          <cell r="N716">
            <v>36937</v>
          </cell>
          <cell r="Q716" t="str">
            <v>Nữ</v>
          </cell>
          <cell r="S716" t="str">
            <v>VN</v>
          </cell>
          <cell r="AL716" t="str">
            <v>Thành phố Hồ Chí Minh</v>
          </cell>
        </row>
        <row r="717">
          <cell r="C717" t="str">
            <v>8820656273</v>
          </cell>
          <cell r="F717" t="str">
            <v>Tăng Thái Dương</v>
          </cell>
          <cell r="N717">
            <v>37117</v>
          </cell>
          <cell r="Q717" t="str">
            <v>Nam</v>
          </cell>
          <cell r="S717" t="str">
            <v>VN</v>
          </cell>
          <cell r="AL717" t="str">
            <v>Thành phố Hà Nội</v>
          </cell>
        </row>
        <row r="718">
          <cell r="C718" t="str">
            <v>8824380555</v>
          </cell>
          <cell r="F718" t="str">
            <v>Đỗ Thị Thu Hà</v>
          </cell>
          <cell r="N718">
            <v>36747</v>
          </cell>
          <cell r="Q718" t="str">
            <v>Nữ</v>
          </cell>
          <cell r="S718" t="str">
            <v>VN</v>
          </cell>
          <cell r="AL718" t="str">
            <v>Thành phố Hà Nội</v>
          </cell>
        </row>
        <row r="719">
          <cell r="C719" t="str">
            <v>8825674999</v>
          </cell>
          <cell r="F719" t="str">
            <v>Nguyễn Thị Hồng Ngọc</v>
          </cell>
          <cell r="N719">
            <v>36739</v>
          </cell>
          <cell r="Q719" t="str">
            <v>Nữ</v>
          </cell>
          <cell r="S719" t="str">
            <v>VN</v>
          </cell>
          <cell r="AL719" t="str">
            <v>Thành phố Hồ Chí Minh</v>
          </cell>
        </row>
        <row r="720">
          <cell r="C720" t="str">
            <v>8833055720</v>
          </cell>
          <cell r="F720" t="str">
            <v>Trần Thị Hương Giang</v>
          </cell>
          <cell r="N720">
            <v>37189</v>
          </cell>
          <cell r="Q720" t="str">
            <v>Nữ</v>
          </cell>
          <cell r="S720" t="str">
            <v>VN</v>
          </cell>
          <cell r="AL720" t="str">
            <v>Thành phố Hà Nội</v>
          </cell>
        </row>
        <row r="721">
          <cell r="C721" t="str">
            <v>8834474548</v>
          </cell>
          <cell r="F721" t="str">
            <v>Lê Quỳnh Trang</v>
          </cell>
          <cell r="N721">
            <v>36397</v>
          </cell>
          <cell r="Q721" t="str">
            <v>Nữ</v>
          </cell>
          <cell r="S721" t="str">
            <v>VN</v>
          </cell>
          <cell r="AL721" t="str">
            <v>Thành phố Hồ Chí Minh</v>
          </cell>
        </row>
        <row r="722">
          <cell r="C722" t="str">
            <v>8835130148</v>
          </cell>
          <cell r="F722" t="str">
            <v>Phạm Thị Thu Trà</v>
          </cell>
          <cell r="N722">
            <v>36841</v>
          </cell>
          <cell r="Q722" t="str">
            <v>Nữ</v>
          </cell>
          <cell r="S722" t="str">
            <v>VN</v>
          </cell>
          <cell r="AL722" t="str">
            <v>Thành phố Hà Nội</v>
          </cell>
        </row>
        <row r="723">
          <cell r="C723" t="str">
            <v>8839130822</v>
          </cell>
          <cell r="F723" t="str">
            <v>Trần Thị Thùy Dương</v>
          </cell>
          <cell r="N723">
            <v>36977</v>
          </cell>
          <cell r="Q723" t="str">
            <v>Nữ</v>
          </cell>
          <cell r="S723" t="str">
            <v>VN</v>
          </cell>
          <cell r="AL723" t="str">
            <v>Thành phố Đà Nẵng</v>
          </cell>
        </row>
        <row r="724">
          <cell r="C724" t="str">
            <v>8843805203</v>
          </cell>
          <cell r="F724" t="str">
            <v>Ngô Ngọc Bích</v>
          </cell>
          <cell r="N724">
            <v>37232</v>
          </cell>
          <cell r="Q724" t="str">
            <v>Nữ</v>
          </cell>
          <cell r="S724" t="str">
            <v>VN</v>
          </cell>
          <cell r="AL724" t="str">
            <v>Thành phố Hồ Chí Minh</v>
          </cell>
        </row>
        <row r="725">
          <cell r="C725" t="str">
            <v>8843805235</v>
          </cell>
          <cell r="F725" t="str">
            <v>Nguyễn Thị Vân Anh</v>
          </cell>
          <cell r="N725">
            <v>36991</v>
          </cell>
          <cell r="Q725" t="str">
            <v>Nữ</v>
          </cell>
          <cell r="S725" t="str">
            <v>VN</v>
          </cell>
          <cell r="AL725" t="str">
            <v>Thành phố Hồ Chí Minh</v>
          </cell>
        </row>
        <row r="726">
          <cell r="C726" t="str">
            <v>8845046777</v>
          </cell>
          <cell r="F726" t="str">
            <v>Lê Tạ Thùy Duyên</v>
          </cell>
          <cell r="N726">
            <v>37002</v>
          </cell>
          <cell r="Q726" t="str">
            <v>Nữ</v>
          </cell>
          <cell r="S726" t="str">
            <v>VN</v>
          </cell>
          <cell r="AL726" t="str">
            <v>Thành phố Hồ Chí Minh</v>
          </cell>
        </row>
        <row r="727">
          <cell r="C727" t="str">
            <v>8845779559</v>
          </cell>
          <cell r="F727" t="str">
            <v>Vũ Thị Bích Hảo</v>
          </cell>
          <cell r="N727">
            <v>36814</v>
          </cell>
          <cell r="Q727" t="str">
            <v>Nữ</v>
          </cell>
          <cell r="S727" t="str">
            <v>VN</v>
          </cell>
          <cell r="AL727" t="str">
            <v>Thành phố Hà Nội</v>
          </cell>
        </row>
        <row r="728">
          <cell r="C728" t="str">
            <v>8845779580</v>
          </cell>
          <cell r="F728" t="str">
            <v>Nguyễn Thị Như Ý</v>
          </cell>
          <cell r="N728">
            <v>36526</v>
          </cell>
          <cell r="Q728" t="str">
            <v>Nữ</v>
          </cell>
          <cell r="S728" t="str">
            <v>VN</v>
          </cell>
          <cell r="AL728" t="str">
            <v>Thành phố Đà Nẵng</v>
          </cell>
        </row>
        <row r="729">
          <cell r="C729" t="str">
            <v>8848409958</v>
          </cell>
          <cell r="F729" t="str">
            <v>Trần Thu Hằng</v>
          </cell>
          <cell r="N729">
            <v>37358</v>
          </cell>
          <cell r="Q729" t="str">
            <v>Nữ</v>
          </cell>
          <cell r="S729" t="str">
            <v>VN</v>
          </cell>
          <cell r="AL729" t="str">
            <v>Thành phố Hà Nội</v>
          </cell>
        </row>
        <row r="730">
          <cell r="C730" t="str">
            <v>8857810073</v>
          </cell>
          <cell r="F730" t="str">
            <v>Nguyễn Thảo Nguyên</v>
          </cell>
          <cell r="N730">
            <v>36783</v>
          </cell>
          <cell r="Q730" t="str">
            <v>Nữ</v>
          </cell>
          <cell r="S730" t="str">
            <v>VN</v>
          </cell>
          <cell r="AL730" t="str">
            <v>Thành phố Hà Nội</v>
          </cell>
        </row>
        <row r="731">
          <cell r="C731" t="str">
            <v>8858053387</v>
          </cell>
          <cell r="F731" t="str">
            <v>Tô Nguyễn Thụy Anh</v>
          </cell>
          <cell r="N731">
            <v>36760</v>
          </cell>
          <cell r="Q731" t="str">
            <v>Nữ</v>
          </cell>
          <cell r="S731" t="str">
            <v>VN</v>
          </cell>
          <cell r="AL731" t="str">
            <v>Thành phố Hà Nội</v>
          </cell>
        </row>
        <row r="732">
          <cell r="C732" t="str">
            <v>8859475159</v>
          </cell>
          <cell r="F732" t="str">
            <v>Bùi Phương Mai</v>
          </cell>
          <cell r="N732">
            <v>36826</v>
          </cell>
          <cell r="Q732" t="str">
            <v>Nữ</v>
          </cell>
          <cell r="S732" t="str">
            <v>VN</v>
          </cell>
          <cell r="AL732" t="str">
            <v>Thành phố Hà Nội</v>
          </cell>
        </row>
        <row r="733">
          <cell r="C733" t="str">
            <v>8860341008</v>
          </cell>
          <cell r="F733" t="str">
            <v>Đỗ Thị Phương</v>
          </cell>
          <cell r="N733">
            <v>37271</v>
          </cell>
          <cell r="Q733" t="str">
            <v>Nữ</v>
          </cell>
          <cell r="S733" t="str">
            <v>VN</v>
          </cell>
          <cell r="AL733" t="str">
            <v>Thành phố Hà Nội</v>
          </cell>
        </row>
        <row r="734">
          <cell r="C734" t="str">
            <v>8861177840</v>
          </cell>
          <cell r="F734" t="str">
            <v>Phạm Xuân Long</v>
          </cell>
          <cell r="N734">
            <v>36756</v>
          </cell>
          <cell r="Q734" t="str">
            <v>Nam</v>
          </cell>
          <cell r="S734" t="str">
            <v>VN</v>
          </cell>
          <cell r="AL734" t="str">
            <v>Thành phố Hà Nội</v>
          </cell>
        </row>
        <row r="735">
          <cell r="C735" t="str">
            <v>8862273804</v>
          </cell>
          <cell r="F735" t="str">
            <v>Nguyễn Tiến Đạt</v>
          </cell>
          <cell r="N735">
            <v>37074</v>
          </cell>
          <cell r="Q735" t="str">
            <v>Nam</v>
          </cell>
          <cell r="S735" t="str">
            <v>VN</v>
          </cell>
          <cell r="AL735" t="str">
            <v>Thành phố Hồ Chí Minh</v>
          </cell>
        </row>
        <row r="736">
          <cell r="C736" t="str">
            <v>8863150001</v>
          </cell>
          <cell r="F736" t="str">
            <v>Hoàng Thị Quỳnh Trang</v>
          </cell>
          <cell r="N736">
            <v>36997</v>
          </cell>
          <cell r="Q736" t="str">
            <v>Nữ</v>
          </cell>
          <cell r="S736" t="str">
            <v>VN</v>
          </cell>
          <cell r="AL736" t="str">
            <v>Thành phố Hà Nội</v>
          </cell>
        </row>
        <row r="737">
          <cell r="C737" t="str">
            <v>8863843327</v>
          </cell>
          <cell r="F737" t="str">
            <v>Lê Trần Khánh Linh</v>
          </cell>
          <cell r="N737">
            <v>37176</v>
          </cell>
          <cell r="Q737" t="str">
            <v>Nữ</v>
          </cell>
          <cell r="S737" t="str">
            <v>VN</v>
          </cell>
          <cell r="AL737" t="str">
            <v>Thành phố Hồ Chí Minh</v>
          </cell>
        </row>
        <row r="738">
          <cell r="C738" t="str">
            <v>8868290732</v>
          </cell>
          <cell r="F738" t="str">
            <v>Hoàng Mai Hương</v>
          </cell>
          <cell r="N738">
            <v>36260</v>
          </cell>
          <cell r="Q738" t="str">
            <v>Nữ</v>
          </cell>
          <cell r="S738" t="str">
            <v>VN</v>
          </cell>
          <cell r="AL738" t="str">
            <v>Thành phố Hà Nội</v>
          </cell>
        </row>
        <row r="739">
          <cell r="C739" t="str">
            <v>8868798364</v>
          </cell>
          <cell r="F739" t="str">
            <v>Nguyễn Viết Khải</v>
          </cell>
          <cell r="N739">
            <v>37097</v>
          </cell>
          <cell r="Q739" t="str">
            <v>Nam</v>
          </cell>
          <cell r="S739" t="str">
            <v>VN</v>
          </cell>
          <cell r="AL739" t="str">
            <v>Thành phố Hồ Chí Minh</v>
          </cell>
        </row>
        <row r="740">
          <cell r="C740" t="str">
            <v>8868899193</v>
          </cell>
          <cell r="F740" t="str">
            <v>Nguyễn Trọng Đoàn</v>
          </cell>
          <cell r="N740">
            <v>36947</v>
          </cell>
          <cell r="Q740" t="str">
            <v>Nam</v>
          </cell>
          <cell r="S740" t="str">
            <v>VN</v>
          </cell>
          <cell r="AL740" t="str">
            <v>Thành phố Hà Nội</v>
          </cell>
        </row>
        <row r="741">
          <cell r="C741" t="str">
            <v>8869969333</v>
          </cell>
          <cell r="F741" t="str">
            <v>Huỳnh Tấn Thiên</v>
          </cell>
          <cell r="N741">
            <v>38110</v>
          </cell>
          <cell r="Q741" t="str">
            <v>Nam</v>
          </cell>
          <cell r="S741" t="str">
            <v>VN</v>
          </cell>
          <cell r="AL741" t="str">
            <v>Thành phố Cần Thơ</v>
          </cell>
        </row>
        <row r="742">
          <cell r="C742" t="str">
            <v>8876214615</v>
          </cell>
          <cell r="F742" t="str">
            <v>Lâm Thị Bảo Châu</v>
          </cell>
          <cell r="N742">
            <v>36975</v>
          </cell>
          <cell r="Q742" t="str">
            <v>Nữ</v>
          </cell>
          <cell r="S742" t="str">
            <v>VN</v>
          </cell>
          <cell r="AL742" t="str">
            <v>Thành phố Hồ Chí Minh</v>
          </cell>
        </row>
        <row r="743">
          <cell r="C743" t="str">
            <v>8878169580</v>
          </cell>
          <cell r="F743" t="str">
            <v>Nguyễn Mai Hoa</v>
          </cell>
          <cell r="N743">
            <v>33523</v>
          </cell>
          <cell r="Q743" t="str">
            <v>Nữ</v>
          </cell>
          <cell r="S743" t="str">
            <v>VN</v>
          </cell>
          <cell r="AL743" t="str">
            <v>Thành phố Hà Nội</v>
          </cell>
        </row>
        <row r="744">
          <cell r="C744" t="str">
            <v>8881947336</v>
          </cell>
          <cell r="F744" t="str">
            <v>Nguyễn Huyền Tuệ Nhi</v>
          </cell>
          <cell r="N744">
            <v>37472</v>
          </cell>
          <cell r="Q744" t="str">
            <v>Nữ</v>
          </cell>
          <cell r="S744" t="str">
            <v>VN</v>
          </cell>
          <cell r="AL744" t="str">
            <v>Thành phố Hồ Chí Minh</v>
          </cell>
        </row>
        <row r="745">
          <cell r="C745" t="str">
            <v>8882333346</v>
          </cell>
          <cell r="F745" t="str">
            <v>Hoàng Thị Oanh</v>
          </cell>
          <cell r="N745">
            <v>37313</v>
          </cell>
          <cell r="Q745" t="str">
            <v>Nữ</v>
          </cell>
          <cell r="S745" t="str">
            <v>VN</v>
          </cell>
          <cell r="AL745" t="str">
            <v>Thành phố Hà Nội</v>
          </cell>
        </row>
        <row r="746">
          <cell r="C746" t="str">
            <v>8887873514</v>
          </cell>
          <cell r="F746" t="str">
            <v>Nguyễn Thành Đạt</v>
          </cell>
          <cell r="N746">
            <v>36361</v>
          </cell>
          <cell r="Q746" t="str">
            <v>Nam</v>
          </cell>
          <cell r="S746" t="str">
            <v>VN</v>
          </cell>
          <cell r="AL746" t="str">
            <v>Thành phố Hà Nội</v>
          </cell>
        </row>
        <row r="747">
          <cell r="C747" t="str">
            <v>8888578790</v>
          </cell>
          <cell r="F747" t="str">
            <v>Nguyễn Phương Thảo</v>
          </cell>
          <cell r="N747">
            <v>36759</v>
          </cell>
          <cell r="Q747" t="str">
            <v>Nữ</v>
          </cell>
          <cell r="S747" t="str">
            <v>VN</v>
          </cell>
          <cell r="AL747" t="str">
            <v>Thành phố Hà Nội</v>
          </cell>
        </row>
        <row r="748">
          <cell r="C748" t="str">
            <v>8898094654</v>
          </cell>
          <cell r="F748" t="str">
            <v>Nguyễn Phương Châm</v>
          </cell>
          <cell r="N748">
            <v>37296</v>
          </cell>
          <cell r="Q748" t="str">
            <v>Nữ</v>
          </cell>
          <cell r="S748" t="str">
            <v>VN</v>
          </cell>
          <cell r="AL748" t="str">
            <v>Thành phố Hà Nội</v>
          </cell>
        </row>
        <row r="749">
          <cell r="C749" t="str">
            <v>8898517518</v>
          </cell>
          <cell r="F749" t="str">
            <v>Nguyễn Thành Duy</v>
          </cell>
          <cell r="N749">
            <v>35147</v>
          </cell>
          <cell r="Q749" t="str">
            <v>Nam</v>
          </cell>
          <cell r="S749" t="str">
            <v>VN</v>
          </cell>
          <cell r="AL749" t="str">
            <v>Thành phố Hà Nội</v>
          </cell>
        </row>
        <row r="750">
          <cell r="C750" t="str">
            <v>8901793493</v>
          </cell>
          <cell r="F750" t="str">
            <v>Nguyễn Thị My</v>
          </cell>
          <cell r="N750">
            <v>37079</v>
          </cell>
          <cell r="Q750" t="str">
            <v>Nữ</v>
          </cell>
          <cell r="S750" t="str">
            <v>VN</v>
          </cell>
          <cell r="AL750" t="str">
            <v>Thành phố Hồ Chí Minh</v>
          </cell>
        </row>
        <row r="751">
          <cell r="C751" t="str">
            <v>8903511881</v>
          </cell>
          <cell r="F751" t="str">
            <v>Nguyễn Thu Hương</v>
          </cell>
          <cell r="N751">
            <v>37243</v>
          </cell>
          <cell r="Q751" t="str">
            <v>Nữ</v>
          </cell>
          <cell r="S751" t="str">
            <v>VN</v>
          </cell>
          <cell r="AL751" t="str">
            <v>Thành phố Hà Nội</v>
          </cell>
        </row>
        <row r="752">
          <cell r="C752" t="str">
            <v>8904598892</v>
          </cell>
          <cell r="F752" t="str">
            <v>Đặng Diễm Quỳnh</v>
          </cell>
          <cell r="N752">
            <v>37120</v>
          </cell>
          <cell r="Q752" t="str">
            <v>Nữ</v>
          </cell>
          <cell r="S752" t="str">
            <v>VN</v>
          </cell>
          <cell r="AL752" t="str">
            <v>Thành phố Hà Nội</v>
          </cell>
        </row>
        <row r="753">
          <cell r="C753" t="str">
            <v>8909477965</v>
          </cell>
          <cell r="F753" t="str">
            <v>Trần Khoa Dự</v>
          </cell>
          <cell r="N753">
            <v>37606</v>
          </cell>
          <cell r="Q753" t="str">
            <v>Nam</v>
          </cell>
          <cell r="S753" t="str">
            <v>VN</v>
          </cell>
          <cell r="AL753" t="str">
            <v>Thành phố Hồ Chí Minh</v>
          </cell>
        </row>
        <row r="754">
          <cell r="C754" t="str">
            <v>8919955106</v>
          </cell>
          <cell r="F754" t="str">
            <v>Nguyễn Thị Phượng</v>
          </cell>
          <cell r="N754">
            <v>37404</v>
          </cell>
          <cell r="Q754" t="str">
            <v>Nữ</v>
          </cell>
          <cell r="S754" t="str">
            <v>VN</v>
          </cell>
          <cell r="AL754" t="str">
            <v>Thành phố Hà Nội</v>
          </cell>
        </row>
        <row r="755">
          <cell r="C755" t="str">
            <v>8932835016</v>
          </cell>
          <cell r="F755" t="str">
            <v>Bạch Quang Việt</v>
          </cell>
          <cell r="N755">
            <v>36988</v>
          </cell>
          <cell r="Q755" t="str">
            <v>Nam</v>
          </cell>
          <cell r="S755" t="str">
            <v>VN</v>
          </cell>
          <cell r="AL755" t="str">
            <v>Thành phố Hà Nội</v>
          </cell>
        </row>
        <row r="756">
          <cell r="C756" t="str">
            <v>8934494499</v>
          </cell>
          <cell r="F756" t="str">
            <v>Lê Thị Thanh Hằng</v>
          </cell>
          <cell r="N756">
            <v>37026</v>
          </cell>
          <cell r="Q756" t="str">
            <v>Nữ</v>
          </cell>
          <cell r="S756" t="str">
            <v>VN</v>
          </cell>
          <cell r="AL756" t="str">
            <v>Thành phố Hà Nội</v>
          </cell>
        </row>
        <row r="757">
          <cell r="C757" t="str">
            <v>8934749676</v>
          </cell>
          <cell r="F757" t="str">
            <v>Chu Văn Huy</v>
          </cell>
          <cell r="N757">
            <v>36992</v>
          </cell>
          <cell r="Q757" t="str">
            <v>Nam</v>
          </cell>
          <cell r="S757" t="str">
            <v>VN</v>
          </cell>
          <cell r="AL757" t="str">
            <v>Thành phố Hà Nội</v>
          </cell>
        </row>
        <row r="758">
          <cell r="C758" t="str">
            <v>8935793886</v>
          </cell>
          <cell r="F758" t="str">
            <v>Phạm Mạnh Tân</v>
          </cell>
          <cell r="N758">
            <v>37177</v>
          </cell>
          <cell r="Q758" t="str">
            <v>Nam</v>
          </cell>
          <cell r="S758" t="str">
            <v>VN</v>
          </cell>
          <cell r="AL758" t="str">
            <v>Thành phố Hà Nội</v>
          </cell>
        </row>
        <row r="759">
          <cell r="C759" t="str">
            <v>8945226300</v>
          </cell>
          <cell r="F759" t="str">
            <v>Đặng La Bảo Ngọc</v>
          </cell>
          <cell r="N759">
            <v>37494</v>
          </cell>
          <cell r="Q759" t="str">
            <v>Nữ</v>
          </cell>
          <cell r="S759" t="str">
            <v>VN</v>
          </cell>
          <cell r="AL759" t="str">
            <v>Thành phố Hồ Chí Minh</v>
          </cell>
        </row>
        <row r="760">
          <cell r="C760" t="str">
            <v>001204014017</v>
          </cell>
          <cell r="F760" t="str">
            <v>Cao Đức Huy</v>
          </cell>
          <cell r="N760">
            <v>38061</v>
          </cell>
          <cell r="Q760" t="str">
            <v>Nam</v>
          </cell>
          <cell r="S760" t="str">
            <v>VN</v>
          </cell>
          <cell r="AL760" t="str">
            <v>Thành phố Hà Nội</v>
          </cell>
        </row>
        <row r="761">
          <cell r="C761" t="str">
            <v>001204014117</v>
          </cell>
          <cell r="F761" t="str">
            <v>Nguyễn Như Nam</v>
          </cell>
          <cell r="N761">
            <v>38002</v>
          </cell>
          <cell r="Q761" t="str">
            <v>Nam</v>
          </cell>
          <cell r="S761" t="str">
            <v>VN</v>
          </cell>
          <cell r="AL761" t="str">
            <v>Thành phố Hà Nội</v>
          </cell>
        </row>
        <row r="762">
          <cell r="C762" t="str">
            <v>001306056773</v>
          </cell>
          <cell r="F762" t="str">
            <v>Lê Kỳ Phương Lê</v>
          </cell>
          <cell r="N762">
            <v>37987</v>
          </cell>
          <cell r="Q762" t="str">
            <v>Nữ</v>
          </cell>
          <cell r="S762" t="str">
            <v>VN</v>
          </cell>
          <cell r="AL762" t="str">
            <v>Thành phố Hà Nội</v>
          </cell>
        </row>
        <row r="763">
          <cell r="C763" t="str">
            <v>001306889003</v>
          </cell>
          <cell r="F763" t="str">
            <v>Lê Thị Mai Uyên</v>
          </cell>
          <cell r="N763">
            <v>38793</v>
          </cell>
          <cell r="Q763" t="str">
            <v>Nữ</v>
          </cell>
          <cell r="S763" t="str">
            <v>VN</v>
          </cell>
          <cell r="AL763" t="str">
            <v>Thành phố Hà Nội</v>
          </cell>
        </row>
        <row r="764">
          <cell r="C764" t="str">
            <v>031304002301</v>
          </cell>
          <cell r="F764" t="str">
            <v>Lê Thuỳ Dương</v>
          </cell>
          <cell r="N764">
            <v>38209</v>
          </cell>
          <cell r="Q764" t="str">
            <v>Nữ</v>
          </cell>
          <cell r="S764" t="str">
            <v>VN</v>
          </cell>
          <cell r="AL764" t="str">
            <v>Thành phố Hà Nội</v>
          </cell>
        </row>
        <row r="765">
          <cell r="C765" t="str">
            <v>035204001891</v>
          </cell>
          <cell r="F765" t="str">
            <v>Nguyễn Quốc Đạt</v>
          </cell>
          <cell r="N765">
            <v>38306</v>
          </cell>
          <cell r="Q765" t="str">
            <v>Nam</v>
          </cell>
          <cell r="S765" t="str">
            <v>VN</v>
          </cell>
        </row>
        <row r="766">
          <cell r="C766" t="str">
            <v>036305003183</v>
          </cell>
          <cell r="F766" t="str">
            <v>Trần Thị Ánh</v>
          </cell>
          <cell r="N766">
            <v>38359</v>
          </cell>
          <cell r="Q766" t="str">
            <v>Nữ</v>
          </cell>
          <cell r="S766" t="str">
            <v>VN</v>
          </cell>
          <cell r="AL766" t="str">
            <v>Thành phố Hà Nội</v>
          </cell>
        </row>
        <row r="767">
          <cell r="C767" t="str">
            <v>038305012918</v>
          </cell>
          <cell r="F767" t="str">
            <v>Đào Thị Khánh Chi</v>
          </cell>
          <cell r="N767">
            <v>38527</v>
          </cell>
          <cell r="Q767" t="str">
            <v>Nữ</v>
          </cell>
          <cell r="S767" t="str">
            <v>VN</v>
          </cell>
          <cell r="AL767" t="str">
            <v>Thành phố Hà Nội</v>
          </cell>
        </row>
        <row r="768">
          <cell r="C768" t="str">
            <v>056303008583</v>
          </cell>
          <cell r="F768" t="str">
            <v>Đinh Trần Khánh Trang</v>
          </cell>
          <cell r="N768">
            <v>37838</v>
          </cell>
          <cell r="Q768" t="str">
            <v>Nữ</v>
          </cell>
          <cell r="S768" t="str">
            <v>VN</v>
          </cell>
          <cell r="AL768" t="str">
            <v>Thành phố Hồ Chí Minh</v>
          </cell>
        </row>
        <row r="769">
          <cell r="C769" t="str">
            <v>079303011761</v>
          </cell>
          <cell r="F769" t="str">
            <v>Triệu Phương Mai</v>
          </cell>
          <cell r="N769">
            <v>37863</v>
          </cell>
          <cell r="Q769" t="str">
            <v>Nữ</v>
          </cell>
          <cell r="S769" t="str">
            <v>VN</v>
          </cell>
          <cell r="AL769" t="str">
            <v>Thành phố Hồ Chí Minh</v>
          </cell>
        </row>
        <row r="770">
          <cell r="C770" t="str">
            <v>089304001621</v>
          </cell>
          <cell r="F770" t="str">
            <v>Huỳnh Thị Thanh Na</v>
          </cell>
          <cell r="N770">
            <v>38266</v>
          </cell>
          <cell r="Q770" t="str">
            <v>Nữ</v>
          </cell>
          <cell r="S770" t="str">
            <v>VN</v>
          </cell>
          <cell r="AL770" t="str">
            <v>Thành phố Hồ Chí Minh</v>
          </cell>
        </row>
        <row r="771">
          <cell r="C771" t="str">
            <v>8893053502</v>
          </cell>
          <cell r="F771" t="str">
            <v>Phạm Lê Hồng Thủy</v>
          </cell>
          <cell r="N771">
            <v>37539</v>
          </cell>
          <cell r="Q771" t="str">
            <v>Nữ</v>
          </cell>
          <cell r="S771" t="str">
            <v>VN</v>
          </cell>
          <cell r="AL771" t="str">
            <v>Thành phố Hồ Chí Minh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1">
          <cell r="F1" t="str">
            <v>Họ và tên nhân viên</v>
          </cell>
          <cell r="N1" t="str">
            <v>Ngày sinh</v>
          </cell>
        </row>
        <row r="2">
          <cell r="C2" t="str">
            <v>0</v>
          </cell>
          <cell r="F2" t="str">
            <v>Ngô Anh Tiến</v>
          </cell>
          <cell r="N2">
            <v>30651</v>
          </cell>
          <cell r="Q2" t="str">
            <v>Nam</v>
          </cell>
          <cell r="S2" t="str">
            <v>VN</v>
          </cell>
          <cell r="AA2">
            <v>45393</v>
          </cell>
          <cell r="AL2" t="str">
            <v>Thành phố Hà Nội</v>
          </cell>
        </row>
        <row r="3">
          <cell r="C3" t="str">
            <v>000</v>
          </cell>
          <cell r="F3" t="str">
            <v>Thiều Thị Tuyết</v>
          </cell>
          <cell r="N3">
            <v>33029</v>
          </cell>
          <cell r="Q3" t="str">
            <v>Nữ</v>
          </cell>
          <cell r="S3" t="str">
            <v>VN</v>
          </cell>
          <cell r="AA3">
            <v>45435</v>
          </cell>
          <cell r="AL3" t="str">
            <v>Thành phố Hà Nội</v>
          </cell>
        </row>
        <row r="4">
          <cell r="C4" t="str">
            <v>0000000005</v>
          </cell>
          <cell r="F4" t="str">
            <v>Nguyễn Phương Uyên</v>
          </cell>
          <cell r="N4">
            <v>37426</v>
          </cell>
          <cell r="Q4" t="str">
            <v>Nữ</v>
          </cell>
          <cell r="S4" t="str">
            <v>VN</v>
          </cell>
          <cell r="AA4">
            <v>45698</v>
          </cell>
          <cell r="AL4" t="str">
            <v>Thành phố Hà Nội</v>
          </cell>
        </row>
        <row r="5">
          <cell r="C5" t="str">
            <v>001096016191</v>
          </cell>
          <cell r="F5" t="str">
            <v>Nguyễn Trọng Nguyên</v>
          </cell>
          <cell r="N5">
            <v>35398</v>
          </cell>
          <cell r="Q5" t="str">
            <v>Nam</v>
          </cell>
          <cell r="S5" t="str">
            <v>VN</v>
          </cell>
          <cell r="AA5">
            <v>46083</v>
          </cell>
          <cell r="AL5" t="str">
            <v>Thành phố Hà Nội</v>
          </cell>
        </row>
        <row r="6">
          <cell r="C6" t="str">
            <v>001188016855</v>
          </cell>
          <cell r="F6" t="str">
            <v>Dương Thị Hồng</v>
          </cell>
          <cell r="N6">
            <v>32462</v>
          </cell>
          <cell r="Q6" t="str">
            <v>Nữ</v>
          </cell>
          <cell r="S6" t="str">
            <v>VN</v>
          </cell>
          <cell r="AA6">
            <v>46198</v>
          </cell>
          <cell r="AL6" t="str">
            <v>Thành phố Hà Nội</v>
          </cell>
        </row>
        <row r="7">
          <cell r="C7" t="str">
            <v>001192022855</v>
          </cell>
          <cell r="F7" t="str">
            <v>Nguyễn Phương Thảo</v>
          </cell>
          <cell r="N7">
            <v>33847</v>
          </cell>
          <cell r="Q7" t="str">
            <v>Nữ</v>
          </cell>
          <cell r="S7" t="str">
            <v>VN</v>
          </cell>
          <cell r="AA7">
            <v>46200</v>
          </cell>
          <cell r="AL7" t="str">
            <v>Thành phố Hà Nội</v>
          </cell>
        </row>
        <row r="8">
          <cell r="C8" t="str">
            <v>001198028271</v>
          </cell>
          <cell r="F8" t="str">
            <v>Nguyễn Hà Anh</v>
          </cell>
          <cell r="N8">
            <v>36115</v>
          </cell>
          <cell r="Q8" t="str">
            <v>Nữ</v>
          </cell>
          <cell r="S8" t="str">
            <v>VN</v>
          </cell>
          <cell r="AA8">
            <v>45978</v>
          </cell>
          <cell r="AL8" t="str">
            <v>Thành phố Hà Nội</v>
          </cell>
        </row>
        <row r="9">
          <cell r="C9" t="str">
            <v>001203018312</v>
          </cell>
          <cell r="F9" t="str">
            <v>Nguyễn Duy Minh Đức</v>
          </cell>
          <cell r="N9">
            <v>37939</v>
          </cell>
          <cell r="Q9" t="str">
            <v>Nam</v>
          </cell>
          <cell r="S9" t="str">
            <v>VN</v>
          </cell>
          <cell r="AA9">
            <v>46206</v>
          </cell>
          <cell r="AL9" t="str">
            <v>Thành phố Hà Nội</v>
          </cell>
        </row>
        <row r="10">
          <cell r="C10" t="str">
            <v>001300000032</v>
          </cell>
          <cell r="F10" t="str">
            <v>Lê Diệu Liên</v>
          </cell>
          <cell r="N10">
            <v>36625</v>
          </cell>
          <cell r="Q10" t="str">
            <v>Nữ</v>
          </cell>
          <cell r="S10" t="str">
            <v>VN</v>
          </cell>
          <cell r="AA10">
            <v>45930</v>
          </cell>
          <cell r="AL10" t="str">
            <v>Thành phố Hà Nội</v>
          </cell>
        </row>
        <row r="11">
          <cell r="C11" t="str">
            <v>001301003999</v>
          </cell>
          <cell r="F11" t="str">
            <v>Phạm Phương Linh</v>
          </cell>
          <cell r="N11">
            <v>37068</v>
          </cell>
          <cell r="Q11" t="str">
            <v>Nữ</v>
          </cell>
          <cell r="S11" t="str">
            <v>VN</v>
          </cell>
          <cell r="AA11">
            <v>45945</v>
          </cell>
          <cell r="AL11" t="str">
            <v>Thành phố Hà Nội</v>
          </cell>
        </row>
        <row r="12">
          <cell r="C12" t="str">
            <v>001303022641</v>
          </cell>
          <cell r="F12" t="str">
            <v>Đỗ Đào Hiền Lương</v>
          </cell>
          <cell r="N12">
            <v>37946</v>
          </cell>
          <cell r="Q12" t="str">
            <v>Nữ</v>
          </cell>
          <cell r="S12" t="str">
            <v>VN</v>
          </cell>
          <cell r="AA12">
            <v>46023</v>
          </cell>
          <cell r="AL12" t="str">
            <v>Thành phố Hà Nội</v>
          </cell>
        </row>
        <row r="13">
          <cell r="C13" t="str">
            <v>001303036895</v>
          </cell>
          <cell r="F13" t="str">
            <v>Đặng Thanh Huyền</v>
          </cell>
          <cell r="N13">
            <v>37972</v>
          </cell>
          <cell r="Q13" t="str">
            <v>Nữ</v>
          </cell>
          <cell r="S13" t="str">
            <v>VN</v>
          </cell>
          <cell r="AA13">
            <v>45986</v>
          </cell>
          <cell r="AL13" t="str">
            <v>Thành phố Hà Nội</v>
          </cell>
        </row>
        <row r="14">
          <cell r="C14" t="str">
            <v>00504</v>
          </cell>
          <cell r="F14" t="str">
            <v>Nguyễn Thùy Dung</v>
          </cell>
          <cell r="N14">
            <v>34654</v>
          </cell>
          <cell r="Q14" t="str">
            <v>Nữ</v>
          </cell>
          <cell r="S14" t="str">
            <v>VN</v>
          </cell>
          <cell r="AA14">
            <v>44835</v>
          </cell>
        </row>
        <row r="15">
          <cell r="C15" t="str">
            <v>00536</v>
          </cell>
          <cell r="F15" t="str">
            <v>Nguyễn Thủy Hà</v>
          </cell>
          <cell r="N15">
            <v>32294</v>
          </cell>
          <cell r="Q15" t="str">
            <v>Nữ</v>
          </cell>
          <cell r="S15" t="str">
            <v>VN</v>
          </cell>
          <cell r="AA15">
            <v>44843</v>
          </cell>
        </row>
        <row r="16">
          <cell r="C16" t="str">
            <v>00602</v>
          </cell>
          <cell r="F16" t="str">
            <v>Nguyễn Đức Tuấn</v>
          </cell>
          <cell r="N16">
            <v>36693</v>
          </cell>
          <cell r="Q16" t="str">
            <v>Nam</v>
          </cell>
          <cell r="S16" t="str">
            <v>VN</v>
          </cell>
          <cell r="AA16">
            <v>44905</v>
          </cell>
          <cell r="AL16" t="str">
            <v>Tỉnh Đồng Nai</v>
          </cell>
        </row>
        <row r="17">
          <cell r="C17" t="str">
            <v>00617</v>
          </cell>
          <cell r="F17" t="str">
            <v>Bùi Thị Hằng</v>
          </cell>
          <cell r="N17">
            <v>33553</v>
          </cell>
          <cell r="Q17" t="str">
            <v>Nữ</v>
          </cell>
          <cell r="S17" t="str">
            <v>VN</v>
          </cell>
          <cell r="AA17">
            <v>44903</v>
          </cell>
          <cell r="AL17" t="str">
            <v>Thành phố Hà Nội</v>
          </cell>
        </row>
        <row r="18">
          <cell r="C18" t="str">
            <v>00624</v>
          </cell>
          <cell r="F18" t="str">
            <v>Huỳnh Nguyễn Thanh Tuyền</v>
          </cell>
          <cell r="N18">
            <v>34261</v>
          </cell>
          <cell r="Q18" t="str">
            <v>Nữ</v>
          </cell>
          <cell r="S18" t="str">
            <v>VN</v>
          </cell>
          <cell r="AA18">
            <v>44936</v>
          </cell>
          <cell r="AL18" t="str">
            <v>Thành phố Hồ Chí Minh</v>
          </cell>
        </row>
        <row r="19">
          <cell r="C19" t="str">
            <v>0100807823</v>
          </cell>
          <cell r="F19" t="str">
            <v>Phạm Thùy Hương</v>
          </cell>
          <cell r="N19">
            <v>28174</v>
          </cell>
          <cell r="Q19" t="str">
            <v>Nữ</v>
          </cell>
          <cell r="S19" t="str">
            <v>VN</v>
          </cell>
          <cell r="AA19">
            <v>44991</v>
          </cell>
          <cell r="AL19" t="str">
            <v>Thành phố Hồ Chí Minh</v>
          </cell>
        </row>
        <row r="20">
          <cell r="C20" t="str">
            <v>010099007906</v>
          </cell>
          <cell r="F20" t="str">
            <v>Phạm Ngọc Thành</v>
          </cell>
          <cell r="N20">
            <v>36207</v>
          </cell>
          <cell r="Q20" t="str">
            <v>Nam</v>
          </cell>
          <cell r="S20" t="str">
            <v>VN</v>
          </cell>
          <cell r="AA20">
            <v>46091</v>
          </cell>
          <cell r="AL20" t="str">
            <v>Thành phố Hà Nội</v>
          </cell>
        </row>
        <row r="21">
          <cell r="C21" t="str">
            <v>0103348705</v>
          </cell>
          <cell r="F21" t="str">
            <v>Phạm Ngọc Diệp</v>
          </cell>
          <cell r="N21">
            <v>24852</v>
          </cell>
          <cell r="Q21" t="str">
            <v>Nữ</v>
          </cell>
          <cell r="S21" t="str">
            <v>VN</v>
          </cell>
          <cell r="AA21">
            <v>46219</v>
          </cell>
          <cell r="AL21" t="str">
            <v>Thành phố Hà Nội</v>
          </cell>
        </row>
        <row r="22">
          <cell r="C22" t="str">
            <v>0103385256</v>
          </cell>
          <cell r="F22" t="str">
            <v>Nguyễn Văn Anh</v>
          </cell>
          <cell r="N22">
            <v>31237</v>
          </cell>
          <cell r="Q22" t="str">
            <v>Nam</v>
          </cell>
          <cell r="S22" t="str">
            <v>VN</v>
          </cell>
          <cell r="AA22">
            <v>45030</v>
          </cell>
          <cell r="AL22" t="str">
            <v>Thành phố Hà Nội</v>
          </cell>
        </row>
        <row r="23">
          <cell r="C23" t="str">
            <v>0107284770</v>
          </cell>
          <cell r="F23" t="str">
            <v>Phạm Thị Huyền Nga</v>
          </cell>
          <cell r="N23">
            <v>29610</v>
          </cell>
          <cell r="Q23" t="str">
            <v>Nữ</v>
          </cell>
          <cell r="S23" t="str">
            <v>VN</v>
          </cell>
          <cell r="AA23">
            <v>45624</v>
          </cell>
          <cell r="AL23" t="str">
            <v>Thành phố Hà Nội</v>
          </cell>
        </row>
        <row r="24">
          <cell r="C24" t="str">
            <v>0109678668</v>
          </cell>
          <cell r="F24" t="str">
            <v>Đoàn Lệ Thúy</v>
          </cell>
          <cell r="N24">
            <v>32330</v>
          </cell>
          <cell r="Q24" t="str">
            <v>Nữ</v>
          </cell>
          <cell r="S24" t="str">
            <v>VN</v>
          </cell>
          <cell r="AA24">
            <v>44876</v>
          </cell>
          <cell r="AL24" t="str">
            <v>Thành phố Hà Nội</v>
          </cell>
        </row>
        <row r="25">
          <cell r="C25" t="str">
            <v>0110411299</v>
          </cell>
          <cell r="F25" t="str">
            <v>Phạm Thu Hà</v>
          </cell>
          <cell r="N25">
            <v>36468</v>
          </cell>
          <cell r="Q25" t="str">
            <v>Nữ</v>
          </cell>
          <cell r="S25" t="str">
            <v>VN</v>
          </cell>
          <cell r="AA25">
            <v>45894</v>
          </cell>
          <cell r="AL25" t="str">
            <v>Thành phố Hà Nội</v>
          </cell>
        </row>
        <row r="26">
          <cell r="C26" t="str">
            <v>017194000178</v>
          </cell>
          <cell r="F26" t="str">
            <v>Nguyễn Thị Hương Thơm</v>
          </cell>
          <cell r="N26">
            <v>34363</v>
          </cell>
          <cell r="Q26" t="str">
            <v>Nữ</v>
          </cell>
          <cell r="S26" t="str">
            <v>VN</v>
          </cell>
          <cell r="AA26">
            <v>46204</v>
          </cell>
          <cell r="AL26" t="str">
            <v>Thành phố Hà Nội</v>
          </cell>
        </row>
        <row r="27">
          <cell r="C27" t="str">
            <v>030091006959</v>
          </cell>
          <cell r="F27" t="str">
            <v>Vũ Khắc Việt</v>
          </cell>
          <cell r="N27">
            <v>33520</v>
          </cell>
          <cell r="Q27" t="str">
            <v>Nam</v>
          </cell>
          <cell r="S27" t="str">
            <v>VN</v>
          </cell>
          <cell r="AA27">
            <v>46218</v>
          </cell>
          <cell r="AL27" t="str">
            <v>Thành phố Hà Nội</v>
          </cell>
        </row>
        <row r="28">
          <cell r="C28" t="str">
            <v>030203004463</v>
          </cell>
          <cell r="F28" t="str">
            <v>Nguyễn Đức Thắng</v>
          </cell>
          <cell r="N28">
            <v>37907</v>
          </cell>
          <cell r="Q28" t="str">
            <v>Nam</v>
          </cell>
          <cell r="S28" t="str">
            <v>VN</v>
          </cell>
          <cell r="AA28">
            <v>46016</v>
          </cell>
          <cell r="AL28" t="str">
            <v>Thành phố Hà Nội</v>
          </cell>
        </row>
        <row r="29">
          <cell r="C29" t="str">
            <v>030204008405</v>
          </cell>
          <cell r="F29" t="str">
            <v>Vũ Bá Tuấn Cường</v>
          </cell>
          <cell r="N29">
            <v>38161</v>
          </cell>
          <cell r="Q29" t="str">
            <v>Nam</v>
          </cell>
          <cell r="S29" t="str">
            <v>VN</v>
          </cell>
          <cell r="AA29">
            <v>46099</v>
          </cell>
          <cell r="AL29" t="str">
            <v>Thành phố Hà Nội</v>
          </cell>
        </row>
        <row r="30">
          <cell r="C30" t="str">
            <v>030301010113</v>
          </cell>
          <cell r="F30" t="str">
            <v>Nguyễn Thị Hoa</v>
          </cell>
          <cell r="N30">
            <v>37066</v>
          </cell>
          <cell r="Q30" t="str">
            <v>Nữ</v>
          </cell>
          <cell r="S30" t="str">
            <v>VN</v>
          </cell>
          <cell r="AA30">
            <v>46030</v>
          </cell>
          <cell r="AL30" t="str">
            <v>Thành phố Hà Nội</v>
          </cell>
        </row>
        <row r="31">
          <cell r="C31" t="str">
            <v>030303004255</v>
          </cell>
          <cell r="F31" t="str">
            <v>Lê Thị Thu Hà</v>
          </cell>
          <cell r="N31">
            <v>37983</v>
          </cell>
          <cell r="Q31" t="str">
            <v>Nữ</v>
          </cell>
          <cell r="S31" t="str">
            <v>VN</v>
          </cell>
          <cell r="AA31">
            <v>46041</v>
          </cell>
          <cell r="AL31" t="str">
            <v>Thành phố Hà Nội</v>
          </cell>
        </row>
        <row r="32">
          <cell r="C32" t="str">
            <v>030303004498</v>
          </cell>
          <cell r="F32" t="str">
            <v>Nguyễn Thị Ngọc Mai</v>
          </cell>
          <cell r="N32">
            <v>37699</v>
          </cell>
          <cell r="Q32" t="str">
            <v>Nữ</v>
          </cell>
          <cell r="S32" t="str">
            <v>VN</v>
          </cell>
          <cell r="AA32">
            <v>46185</v>
          </cell>
          <cell r="AL32" t="str">
            <v>Thành phố Hà Nội</v>
          </cell>
        </row>
        <row r="33">
          <cell r="C33" t="str">
            <v>0307429085</v>
          </cell>
          <cell r="F33" t="str">
            <v>Nguyễn Thị Kim Dung</v>
          </cell>
          <cell r="N33">
            <v>28758</v>
          </cell>
          <cell r="Q33" t="str">
            <v>Nữ</v>
          </cell>
          <cell r="S33" t="str">
            <v>VN</v>
          </cell>
          <cell r="AA33">
            <v>46141</v>
          </cell>
          <cell r="AL33" t="str">
            <v>Thành phố Hồ Chí Minh</v>
          </cell>
        </row>
        <row r="34">
          <cell r="C34" t="str">
            <v>0308711038</v>
          </cell>
          <cell r="F34" t="str">
            <v>Tô Ngọc Tuyền</v>
          </cell>
          <cell r="N34">
            <v>30900</v>
          </cell>
          <cell r="Q34" t="str">
            <v>Nữ</v>
          </cell>
          <cell r="S34" t="str">
            <v>VN</v>
          </cell>
          <cell r="AA34">
            <v>45565</v>
          </cell>
          <cell r="AL34" t="str">
            <v>Thành phố Hồ Chí Minh</v>
          </cell>
        </row>
        <row r="35">
          <cell r="C35" t="str">
            <v>0310062609</v>
          </cell>
          <cell r="F35" t="str">
            <v>Trần Bách Tỷ Bảo</v>
          </cell>
          <cell r="N35">
            <v>30934</v>
          </cell>
          <cell r="Q35" t="str">
            <v>Nam</v>
          </cell>
          <cell r="S35" t="str">
            <v>VN</v>
          </cell>
          <cell r="AA35">
            <v>45170</v>
          </cell>
          <cell r="AL35" t="str">
            <v>Thành phố Hồ Chí Minh</v>
          </cell>
        </row>
        <row r="36">
          <cell r="C36" t="str">
            <v>033099009907</v>
          </cell>
          <cell r="F36" t="str">
            <v>Hoàng Mạnh Cường</v>
          </cell>
          <cell r="N36">
            <v>36274</v>
          </cell>
          <cell r="Q36" t="str">
            <v>Nam</v>
          </cell>
          <cell r="S36" t="str">
            <v>VN</v>
          </cell>
          <cell r="AA36">
            <v>46193</v>
          </cell>
          <cell r="AL36" t="str">
            <v>Thành phố Hà Nội</v>
          </cell>
        </row>
        <row r="37">
          <cell r="C37" t="str">
            <v>034203014167</v>
          </cell>
          <cell r="F37" t="str">
            <v>Trần Văn Luật</v>
          </cell>
          <cell r="N37">
            <v>37692</v>
          </cell>
          <cell r="Q37" t="str">
            <v>Nam</v>
          </cell>
          <cell r="S37" t="str">
            <v>VN</v>
          </cell>
          <cell r="AA37">
            <v>46124</v>
          </cell>
        </row>
        <row r="38">
          <cell r="C38" t="str">
            <v>036303012601</v>
          </cell>
          <cell r="F38" t="str">
            <v>Nguyễn Phạm Thuỳ Dương</v>
          </cell>
          <cell r="N38">
            <v>37741</v>
          </cell>
          <cell r="Q38" t="str">
            <v>Nữ</v>
          </cell>
          <cell r="S38" t="str">
            <v>VN</v>
          </cell>
          <cell r="AA38">
            <v>46023</v>
          </cell>
          <cell r="AL38" t="str">
            <v>Thành phố Hà Nội</v>
          </cell>
        </row>
        <row r="39">
          <cell r="C39" t="str">
            <v>038201002035</v>
          </cell>
          <cell r="F39" t="str">
            <v>Trương Trung Đức</v>
          </cell>
          <cell r="N39">
            <v>37169</v>
          </cell>
          <cell r="Q39" t="str">
            <v>Nam</v>
          </cell>
          <cell r="S39" t="str">
            <v>VN</v>
          </cell>
          <cell r="AA39">
            <v>46174</v>
          </cell>
          <cell r="AL39" t="str">
            <v>Thành phố Hà Nội</v>
          </cell>
        </row>
        <row r="40">
          <cell r="C40" t="str">
            <v>038303021366</v>
          </cell>
          <cell r="F40" t="str">
            <v>Phạm Trần Khánh Linh</v>
          </cell>
          <cell r="N40">
            <v>37856</v>
          </cell>
          <cell r="Q40" t="str">
            <v>Nữ</v>
          </cell>
          <cell r="S40" t="str">
            <v>VN</v>
          </cell>
          <cell r="AA40">
            <v>46167</v>
          </cell>
          <cell r="AL40" t="str">
            <v>Thành phố Hà Nội</v>
          </cell>
        </row>
        <row r="41">
          <cell r="C41" t="str">
            <v>0401383624</v>
          </cell>
          <cell r="F41" t="str">
            <v>Vũ Văn Tá</v>
          </cell>
          <cell r="N41">
            <v>32910</v>
          </cell>
          <cell r="Q41" t="str">
            <v>Nam</v>
          </cell>
          <cell r="S41" t="str">
            <v>VN</v>
          </cell>
          <cell r="AA41">
            <v>45437</v>
          </cell>
          <cell r="AL41" t="str">
            <v>Thành phố Đà Nẵng</v>
          </cell>
        </row>
        <row r="42">
          <cell r="C42" t="str">
            <v>040203013844</v>
          </cell>
          <cell r="F42" t="str">
            <v>Nguyễn Ngọc Chiến</v>
          </cell>
          <cell r="N42">
            <v>37719</v>
          </cell>
          <cell r="Q42" t="str">
            <v>Nam</v>
          </cell>
          <cell r="S42" t="str">
            <v>VN</v>
          </cell>
          <cell r="AA42">
            <v>46198</v>
          </cell>
          <cell r="AL42" t="str">
            <v>Thành phố Hà Nội</v>
          </cell>
        </row>
        <row r="43">
          <cell r="C43" t="str">
            <v>054202008215</v>
          </cell>
          <cell r="F43" t="str">
            <v>Nguyễn Anh Khoa</v>
          </cell>
          <cell r="N43">
            <v>37564</v>
          </cell>
          <cell r="Q43" t="str">
            <v>Nam</v>
          </cell>
          <cell r="S43" t="str">
            <v>VN</v>
          </cell>
          <cell r="AA43">
            <v>46061</v>
          </cell>
          <cell r="AL43" t="str">
            <v>Thành phố Hồ Chí Minh</v>
          </cell>
        </row>
        <row r="44">
          <cell r="C44" t="str">
            <v>060202005666</v>
          </cell>
          <cell r="F44" t="str">
            <v>Nguyễn Tấn Dũng</v>
          </cell>
          <cell r="N44">
            <v>37462</v>
          </cell>
          <cell r="Q44" t="str">
            <v>Nam</v>
          </cell>
          <cell r="S44" t="str">
            <v>VN</v>
          </cell>
          <cell r="AA44">
            <v>46007</v>
          </cell>
          <cell r="AL44" t="str">
            <v>Thành phố Hồ Chí Minh</v>
          </cell>
        </row>
        <row r="45">
          <cell r="C45" t="str">
            <v>079302032157</v>
          </cell>
          <cell r="F45" t="str">
            <v>Nguyễn Lê Mỹ Huyền</v>
          </cell>
          <cell r="N45">
            <v>37348</v>
          </cell>
          <cell r="Q45" t="str">
            <v>Nữ</v>
          </cell>
          <cell r="S45" t="str">
            <v>VN</v>
          </cell>
          <cell r="AA45">
            <v>45968</v>
          </cell>
          <cell r="AL45" t="str">
            <v>Thành phố Hồ Chí Minh</v>
          </cell>
        </row>
        <row r="46">
          <cell r="C46" t="str">
            <v>079303033805</v>
          </cell>
          <cell r="F46" t="str">
            <v>Âu Bảo Nhiên</v>
          </cell>
          <cell r="N46">
            <v>37866</v>
          </cell>
          <cell r="Q46" t="str">
            <v>Nữ</v>
          </cell>
          <cell r="S46" t="str">
            <v>VN</v>
          </cell>
          <cell r="AA46">
            <v>46186</v>
          </cell>
          <cell r="AL46" t="str">
            <v>Thành phố Hồ Chí Minh</v>
          </cell>
        </row>
        <row r="47">
          <cell r="C47" t="str">
            <v>080202009457</v>
          </cell>
          <cell r="F47" t="str">
            <v>Phạm Minh Lâm</v>
          </cell>
          <cell r="N47">
            <v>37536</v>
          </cell>
          <cell r="Q47" t="str">
            <v>Nam</v>
          </cell>
          <cell r="S47" t="str">
            <v>VN</v>
          </cell>
          <cell r="AA47">
            <v>46157</v>
          </cell>
          <cell r="AL47" t="str">
            <v>Thành phố Hồ Chí Minh</v>
          </cell>
        </row>
        <row r="48">
          <cell r="C48" t="str">
            <v>1</v>
          </cell>
          <cell r="F48" t="str">
            <v>Đặng Phương Tuấn</v>
          </cell>
          <cell r="N48">
            <v>37576</v>
          </cell>
          <cell r="Q48" t="str">
            <v>Nam</v>
          </cell>
          <cell r="S48" t="str">
            <v>VN</v>
          </cell>
          <cell r="AA48">
            <v>45535</v>
          </cell>
          <cell r="AL48" t="str">
            <v>Thành phố Hà Nội</v>
          </cell>
        </row>
        <row r="49">
          <cell r="C49" t="str">
            <v>1111111111</v>
          </cell>
          <cell r="F49" t="str">
            <v>Lê Hải Ánh</v>
          </cell>
          <cell r="N49">
            <v>37127</v>
          </cell>
          <cell r="Q49" t="str">
            <v>Nữ</v>
          </cell>
          <cell r="S49" t="str">
            <v>VN</v>
          </cell>
          <cell r="AA49">
            <v>45563</v>
          </cell>
          <cell r="AL49" t="str">
            <v>Thành phố Hà Nội</v>
          </cell>
        </row>
        <row r="50">
          <cell r="C50" t="str">
            <v>306029221</v>
          </cell>
          <cell r="F50" t="str">
            <v>Nguyễn Huỳnh Anh Thư</v>
          </cell>
          <cell r="N50">
            <v>28376</v>
          </cell>
          <cell r="Q50" t="str">
            <v>Nữ</v>
          </cell>
          <cell r="S50" t="str">
            <v>VN</v>
          </cell>
          <cell r="AA50">
            <v>45292</v>
          </cell>
          <cell r="AL50" t="str">
            <v>Thành phố Hồ Chí Minh</v>
          </cell>
        </row>
        <row r="51">
          <cell r="C51" t="str">
            <v>8005107921</v>
          </cell>
          <cell r="F51" t="str">
            <v>Vũ Thị Thanh Huyền</v>
          </cell>
          <cell r="N51">
            <v>31474</v>
          </cell>
          <cell r="Q51" t="str">
            <v>Nữ</v>
          </cell>
          <cell r="S51" t="str">
            <v>VN</v>
          </cell>
          <cell r="AA51">
            <v>45240</v>
          </cell>
          <cell r="AL51" t="str">
            <v>Thành phố Hà Nội</v>
          </cell>
        </row>
        <row r="52">
          <cell r="C52" t="str">
            <v>8006696243</v>
          </cell>
          <cell r="F52" t="str">
            <v>Nguyễn Trí Dũng</v>
          </cell>
          <cell r="N52">
            <v>27761</v>
          </cell>
          <cell r="Q52" t="str">
            <v>Nam</v>
          </cell>
          <cell r="S52" t="str">
            <v>VN</v>
          </cell>
          <cell r="AA52">
            <v>45450</v>
          </cell>
          <cell r="AL52" t="str">
            <v>Thành phố Hồ Chí Minh</v>
          </cell>
        </row>
        <row r="53">
          <cell r="C53" t="str">
            <v>8008872487</v>
          </cell>
          <cell r="F53" t="str">
            <v>Đông Thị Hoa</v>
          </cell>
          <cell r="N53">
            <v>30504</v>
          </cell>
          <cell r="Q53" t="str">
            <v>Nữ</v>
          </cell>
          <cell r="S53" t="str">
            <v>VN</v>
          </cell>
          <cell r="AA53">
            <v>45426</v>
          </cell>
          <cell r="AL53" t="str">
            <v>Thành phố Hà Nội</v>
          </cell>
        </row>
        <row r="54">
          <cell r="C54" t="str">
            <v>8009787724</v>
          </cell>
          <cell r="F54" t="str">
            <v>Nguyễn Thu Thủy</v>
          </cell>
          <cell r="N54">
            <v>24409</v>
          </cell>
          <cell r="Q54" t="str">
            <v>Nữ</v>
          </cell>
          <cell r="S54" t="str">
            <v>VN</v>
          </cell>
          <cell r="AA54">
            <v>45894</v>
          </cell>
          <cell r="AL54" t="str">
            <v>Thành phố Hà Nội</v>
          </cell>
        </row>
        <row r="55">
          <cell r="C55" t="str">
            <v>8009788781</v>
          </cell>
          <cell r="F55" t="str">
            <v>Nguyễn Thị Thu Hương</v>
          </cell>
          <cell r="N55">
            <v>31774</v>
          </cell>
          <cell r="Q55" t="str">
            <v>Nữ</v>
          </cell>
          <cell r="S55" t="str">
            <v>VN</v>
          </cell>
          <cell r="AA55">
            <v>45513</v>
          </cell>
          <cell r="AL55" t="str">
            <v>Thành phố Hà Nội</v>
          </cell>
        </row>
        <row r="56">
          <cell r="C56" t="str">
            <v>8010190435</v>
          </cell>
          <cell r="F56" t="str">
            <v>Bùi Thanh Hoa</v>
          </cell>
          <cell r="N56">
            <v>31105</v>
          </cell>
          <cell r="Q56" t="str">
            <v>Nữ</v>
          </cell>
          <cell r="S56" t="str">
            <v>VN</v>
          </cell>
          <cell r="AA56">
            <v>46086</v>
          </cell>
          <cell r="AL56" t="str">
            <v>Thành phố Hà Nội</v>
          </cell>
        </row>
        <row r="57">
          <cell r="C57" t="str">
            <v>8011029421</v>
          </cell>
          <cell r="F57" t="str">
            <v>Lưu Thị Thảo</v>
          </cell>
          <cell r="N57">
            <v>29125</v>
          </cell>
          <cell r="Q57" t="str">
            <v>Nữ</v>
          </cell>
          <cell r="S57" t="str">
            <v>VN</v>
          </cell>
          <cell r="AA57">
            <v>45348</v>
          </cell>
          <cell r="AL57" t="str">
            <v>Thành phố Hà Nội</v>
          </cell>
        </row>
        <row r="58">
          <cell r="C58" t="str">
            <v>8019484246</v>
          </cell>
          <cell r="F58" t="str">
            <v>Nghiêm Chí Giáp</v>
          </cell>
          <cell r="N58">
            <v>30755</v>
          </cell>
          <cell r="Q58" t="str">
            <v>Nam</v>
          </cell>
          <cell r="S58" t="str">
            <v>VN</v>
          </cell>
          <cell r="AA58">
            <v>45200</v>
          </cell>
          <cell r="AL58" t="str">
            <v>Thành phố Hà Nội</v>
          </cell>
        </row>
        <row r="59">
          <cell r="C59" t="str">
            <v>8027613375</v>
          </cell>
          <cell r="F59" t="str">
            <v>Bùi Thị Thanh Tuyền</v>
          </cell>
          <cell r="N59">
            <v>29785</v>
          </cell>
          <cell r="Q59" t="str">
            <v>Nữ</v>
          </cell>
          <cell r="S59" t="str">
            <v>VN</v>
          </cell>
          <cell r="AA59">
            <v>45392</v>
          </cell>
          <cell r="AL59" t="str">
            <v>Thành phố Hà Nội</v>
          </cell>
        </row>
        <row r="60">
          <cell r="C60" t="str">
            <v>8039696866</v>
          </cell>
          <cell r="F60" t="str">
            <v>Đỗ Duy Hùng</v>
          </cell>
          <cell r="N60">
            <v>31208</v>
          </cell>
          <cell r="Q60" t="str">
            <v>Nam</v>
          </cell>
          <cell r="S60" t="str">
            <v>VN</v>
          </cell>
          <cell r="AA60">
            <v>45748</v>
          </cell>
          <cell r="AL60" t="str">
            <v>Thành phố Hà Nội</v>
          </cell>
        </row>
        <row r="61">
          <cell r="C61" t="str">
            <v>8042937039</v>
          </cell>
          <cell r="F61" t="str">
            <v>Châu Đỗ Quyên</v>
          </cell>
          <cell r="N61">
            <v>29549</v>
          </cell>
          <cell r="Q61" t="str">
            <v>Nữ</v>
          </cell>
          <cell r="S61" t="str">
            <v>VN</v>
          </cell>
          <cell r="AA61">
            <v>44958</v>
          </cell>
          <cell r="AL61" t="str">
            <v>Thành phố Hồ Chí Minh</v>
          </cell>
        </row>
        <row r="62">
          <cell r="C62" t="str">
            <v>8045610698</v>
          </cell>
          <cell r="F62" t="str">
            <v>Trần Nguyễn Thảo Vy</v>
          </cell>
          <cell r="N62">
            <v>31928</v>
          </cell>
          <cell r="Q62" t="str">
            <v>Nữ</v>
          </cell>
          <cell r="S62" t="str">
            <v>VN</v>
          </cell>
          <cell r="AA62">
            <v>45762</v>
          </cell>
          <cell r="AL62" t="str">
            <v>Thành phố Cần Thơ</v>
          </cell>
        </row>
        <row r="63">
          <cell r="C63" t="str">
            <v>8049927664</v>
          </cell>
          <cell r="F63" t="str">
            <v>Ngô Khánh Trang</v>
          </cell>
          <cell r="N63">
            <v>30147</v>
          </cell>
          <cell r="Q63" t="str">
            <v>Nữ</v>
          </cell>
          <cell r="S63" t="str">
            <v>VN</v>
          </cell>
          <cell r="AA63">
            <v>45918</v>
          </cell>
          <cell r="AL63" t="str">
            <v>Thành phố Hồ Chí Minh</v>
          </cell>
        </row>
        <row r="64">
          <cell r="C64" t="str">
            <v>8055342818</v>
          </cell>
          <cell r="F64" t="str">
            <v>Võ An Khương</v>
          </cell>
          <cell r="N64">
            <v>28924</v>
          </cell>
          <cell r="Q64" t="str">
            <v>Nam</v>
          </cell>
          <cell r="S64" t="str">
            <v>VN</v>
          </cell>
          <cell r="AA64">
            <v>46081</v>
          </cell>
          <cell r="AL64" t="str">
            <v>Thành phố Cần Thơ</v>
          </cell>
        </row>
        <row r="65">
          <cell r="C65" t="str">
            <v>8055701048</v>
          </cell>
          <cell r="F65" t="str">
            <v>Lê Văn Vinh</v>
          </cell>
          <cell r="N65">
            <v>30692</v>
          </cell>
          <cell r="Q65" t="str">
            <v>Nam</v>
          </cell>
          <cell r="S65" t="str">
            <v>VN</v>
          </cell>
          <cell r="AA65">
            <v>45017</v>
          </cell>
          <cell r="AL65" t="str">
            <v>Thành phố Hà Nội</v>
          </cell>
        </row>
        <row r="66">
          <cell r="C66" t="str">
            <v>8056138082</v>
          </cell>
          <cell r="F66" t="str">
            <v>Nguyễn Trọng Lâm</v>
          </cell>
          <cell r="N66">
            <v>29197</v>
          </cell>
          <cell r="Q66" t="str">
            <v>Nam</v>
          </cell>
          <cell r="S66" t="str">
            <v>VN</v>
          </cell>
          <cell r="AA66">
            <v>45948</v>
          </cell>
          <cell r="AL66" t="str">
            <v>Thành phố Hà Nội</v>
          </cell>
        </row>
        <row r="67">
          <cell r="C67" t="str">
            <v>8057846426</v>
          </cell>
          <cell r="F67" t="str">
            <v>Nguyễn Ngọc Hiệp</v>
          </cell>
          <cell r="N67">
            <v>30701</v>
          </cell>
          <cell r="Q67" t="str">
            <v>Nữ</v>
          </cell>
          <cell r="S67" t="str">
            <v>VN</v>
          </cell>
          <cell r="AA67">
            <v>45733</v>
          </cell>
          <cell r="AL67" t="str">
            <v>Thành phố Hà Nội</v>
          </cell>
        </row>
        <row r="68">
          <cell r="C68" t="str">
            <v>8071577020</v>
          </cell>
          <cell r="F68" t="str">
            <v>Phạm Anh Cường</v>
          </cell>
          <cell r="N68">
            <v>32085</v>
          </cell>
          <cell r="Q68" t="str">
            <v>Nam</v>
          </cell>
          <cell r="S68" t="str">
            <v>VN</v>
          </cell>
          <cell r="AA68">
            <v>45961</v>
          </cell>
          <cell r="AL68" t="str">
            <v>Thành phố Hà Nội</v>
          </cell>
        </row>
        <row r="69">
          <cell r="C69" t="str">
            <v>8072991812</v>
          </cell>
          <cell r="F69" t="str">
            <v>Đinh Thị Mai Hương</v>
          </cell>
          <cell r="N69">
            <v>28865</v>
          </cell>
          <cell r="Q69" t="str">
            <v>Nữ</v>
          </cell>
          <cell r="S69" t="str">
            <v>VN</v>
          </cell>
          <cell r="AA69">
            <v>45236</v>
          </cell>
          <cell r="AL69" t="str">
            <v>Thành phố Hà Nội</v>
          </cell>
        </row>
        <row r="70">
          <cell r="C70" t="str">
            <v>8082215689</v>
          </cell>
          <cell r="F70" t="str">
            <v>Đỗ Thị Ngọc Anh</v>
          </cell>
          <cell r="N70">
            <v>32157</v>
          </cell>
          <cell r="Q70" t="str">
            <v>Nữ</v>
          </cell>
          <cell r="S70" t="str">
            <v>VN</v>
          </cell>
          <cell r="AA70">
            <v>45222</v>
          </cell>
          <cell r="AL70" t="str">
            <v>Thành phố Hà Nội</v>
          </cell>
        </row>
        <row r="71">
          <cell r="C71" t="str">
            <v>8083652730</v>
          </cell>
          <cell r="F71" t="str">
            <v>Võ Trình Nguyên</v>
          </cell>
          <cell r="N71">
            <v>31599</v>
          </cell>
          <cell r="Q71" t="str">
            <v>Nam</v>
          </cell>
          <cell r="S71" t="str">
            <v>VN</v>
          </cell>
          <cell r="AA71">
            <v>46203</v>
          </cell>
          <cell r="AL71" t="str">
            <v>Thành phố Hồ Chí Minh</v>
          </cell>
        </row>
        <row r="72">
          <cell r="C72" t="str">
            <v>8084390414</v>
          </cell>
          <cell r="F72" t="str">
            <v>Nguyễn Thị Thanh Nhàn</v>
          </cell>
          <cell r="N72">
            <v>31413</v>
          </cell>
          <cell r="Q72" t="str">
            <v>Nữ</v>
          </cell>
          <cell r="S72" t="str">
            <v>VN</v>
          </cell>
          <cell r="AA72">
            <v>44974</v>
          </cell>
          <cell r="AL72" t="str">
            <v>Thành phố Hồ Chí Minh</v>
          </cell>
        </row>
        <row r="73">
          <cell r="C73" t="str">
            <v>8085812193</v>
          </cell>
          <cell r="F73" t="str">
            <v>Nguyễn Thị Ngọc Lý</v>
          </cell>
          <cell r="N73">
            <v>32078</v>
          </cell>
          <cell r="Q73" t="str">
            <v>Nữ</v>
          </cell>
          <cell r="S73" t="str">
            <v>VN</v>
          </cell>
          <cell r="AA73">
            <v>46190</v>
          </cell>
          <cell r="AL73" t="str">
            <v>Thành phố Hà Nội</v>
          </cell>
        </row>
        <row r="74">
          <cell r="C74" t="str">
            <v>8091319476</v>
          </cell>
          <cell r="F74" t="str">
            <v>Võ Quang Minh</v>
          </cell>
          <cell r="N74">
            <v>32112</v>
          </cell>
          <cell r="Q74" t="str">
            <v>Nam</v>
          </cell>
          <cell r="S74" t="str">
            <v>VN</v>
          </cell>
          <cell r="AA74">
            <v>45567</v>
          </cell>
          <cell r="AL74" t="str">
            <v>Thành phố Hồ Chí Minh</v>
          </cell>
        </row>
        <row r="75">
          <cell r="C75" t="str">
            <v>8092961929</v>
          </cell>
          <cell r="F75" t="str">
            <v>Hồ Anh Cường</v>
          </cell>
          <cell r="N75">
            <v>31850</v>
          </cell>
          <cell r="Q75" t="str">
            <v>Nam</v>
          </cell>
          <cell r="S75" t="str">
            <v>VN</v>
          </cell>
          <cell r="AA75">
            <v>45017</v>
          </cell>
          <cell r="AL75" t="str">
            <v>Thành phố Hồ Chí Minh</v>
          </cell>
        </row>
        <row r="76">
          <cell r="C76" t="str">
            <v>8102801451</v>
          </cell>
          <cell r="F76" t="str">
            <v>Phan Văn Duẫn</v>
          </cell>
          <cell r="N76">
            <v>29505</v>
          </cell>
          <cell r="Q76" t="str">
            <v>Nam</v>
          </cell>
          <cell r="S76" t="str">
            <v>VN</v>
          </cell>
          <cell r="AA76">
            <v>45447</v>
          </cell>
          <cell r="AL76" t="str">
            <v>Thành phố Hồ Chí Minh</v>
          </cell>
        </row>
        <row r="77">
          <cell r="C77" t="str">
            <v>8108866462</v>
          </cell>
          <cell r="F77" t="str">
            <v>Nguyễn Đại Dương</v>
          </cell>
          <cell r="N77">
            <v>31944</v>
          </cell>
          <cell r="Q77" t="str">
            <v>Nam</v>
          </cell>
          <cell r="S77" t="str">
            <v>VN</v>
          </cell>
          <cell r="AA77">
            <v>45663</v>
          </cell>
          <cell r="AL77" t="str">
            <v>Thành phố Hà Nội</v>
          </cell>
        </row>
        <row r="78">
          <cell r="C78" t="str">
            <v>8109360397</v>
          </cell>
          <cell r="F78" t="str">
            <v>Phương Bửu Châu</v>
          </cell>
          <cell r="N78">
            <v>31729</v>
          </cell>
          <cell r="Q78" t="str">
            <v>Nữ</v>
          </cell>
          <cell r="S78" t="str">
            <v>VN</v>
          </cell>
          <cell r="AA78">
            <v>45352</v>
          </cell>
          <cell r="AL78" t="str">
            <v>Thành phố Hồ Chí Minh</v>
          </cell>
        </row>
        <row r="79">
          <cell r="C79" t="str">
            <v>8116708854</v>
          </cell>
          <cell r="F79" t="str">
            <v>Trần Thị Huyền Trâm</v>
          </cell>
          <cell r="N79">
            <v>32530</v>
          </cell>
          <cell r="Q79" t="str">
            <v>Nữ</v>
          </cell>
          <cell r="S79" t="str">
            <v>VN</v>
          </cell>
          <cell r="AA79">
            <v>44929</v>
          </cell>
          <cell r="AL79" t="str">
            <v>Thành phố Hồ Chí Minh</v>
          </cell>
        </row>
        <row r="80">
          <cell r="C80" t="str">
            <v>8121083485</v>
          </cell>
          <cell r="F80" t="str">
            <v>Trần Công Khang</v>
          </cell>
          <cell r="N80">
            <v>32359</v>
          </cell>
          <cell r="Q80" t="str">
            <v>Nam</v>
          </cell>
          <cell r="S80" t="str">
            <v>VN</v>
          </cell>
          <cell r="AA80">
            <v>45627</v>
          </cell>
          <cell r="AL80" t="str">
            <v>Thành phố Hồ Chí Minh</v>
          </cell>
        </row>
        <row r="81">
          <cell r="C81" t="str">
            <v>8121220519</v>
          </cell>
          <cell r="F81" t="str">
            <v>Nguyễn Hoàng Tùng</v>
          </cell>
          <cell r="N81">
            <v>32731</v>
          </cell>
          <cell r="Q81" t="str">
            <v>Nam</v>
          </cell>
          <cell r="S81" t="str">
            <v>VN</v>
          </cell>
          <cell r="AA81">
            <v>45833</v>
          </cell>
          <cell r="AL81" t="str">
            <v>Thành phố Hà Nội</v>
          </cell>
        </row>
        <row r="82">
          <cell r="C82" t="str">
            <v>8122076794</v>
          </cell>
          <cell r="F82" t="str">
            <v>Nguyễn Ngọc Phương Vi</v>
          </cell>
          <cell r="N82">
            <v>33190</v>
          </cell>
          <cell r="Q82" t="str">
            <v>Nữ</v>
          </cell>
          <cell r="S82" t="str">
            <v>VN</v>
          </cell>
          <cell r="AA82">
            <v>45562</v>
          </cell>
          <cell r="AL82" t="str">
            <v>Thành phố Hồ Chí Minh</v>
          </cell>
        </row>
        <row r="83">
          <cell r="C83" t="str">
            <v>8122669628</v>
          </cell>
          <cell r="F83" t="str">
            <v>Vũ Hoài Sơn</v>
          </cell>
          <cell r="N83">
            <v>33002</v>
          </cell>
          <cell r="Q83" t="str">
            <v>Nam</v>
          </cell>
          <cell r="S83" t="str">
            <v>VN</v>
          </cell>
          <cell r="AA83">
            <v>45566</v>
          </cell>
          <cell r="AL83" t="str">
            <v>Thành phố Hà Nội</v>
          </cell>
        </row>
        <row r="84">
          <cell r="C84" t="str">
            <v>8124491316</v>
          </cell>
          <cell r="F84" t="str">
            <v>Hồ Thị Hải Yến</v>
          </cell>
          <cell r="N84">
            <v>32840</v>
          </cell>
          <cell r="Q84" t="str">
            <v>Nữ</v>
          </cell>
          <cell r="S84" t="str">
            <v>VN</v>
          </cell>
          <cell r="AA84">
            <v>45948</v>
          </cell>
          <cell r="AL84" t="str">
            <v>Thành phố Hà Nội</v>
          </cell>
        </row>
        <row r="85">
          <cell r="C85" t="str">
            <v>8127245284</v>
          </cell>
          <cell r="F85" t="str">
            <v>Đỗ Bửu Tâm</v>
          </cell>
          <cell r="N85">
            <v>32702</v>
          </cell>
          <cell r="Q85" t="str">
            <v>Nam</v>
          </cell>
          <cell r="S85" t="str">
            <v>VN</v>
          </cell>
          <cell r="AA85">
            <v>45791</v>
          </cell>
          <cell r="AL85" t="str">
            <v>Thành phố Cần Thơ</v>
          </cell>
        </row>
        <row r="86">
          <cell r="C86" t="str">
            <v>8127282776</v>
          </cell>
          <cell r="F86" t="str">
            <v>Nguyễn Đình Biên</v>
          </cell>
          <cell r="N86">
            <v>33221</v>
          </cell>
          <cell r="Q86" t="str">
            <v>Nam</v>
          </cell>
          <cell r="S86" t="str">
            <v>VN</v>
          </cell>
          <cell r="AA86">
            <v>45733</v>
          </cell>
          <cell r="AL86" t="str">
            <v>Thành phố Hà Nội</v>
          </cell>
        </row>
        <row r="87">
          <cell r="C87" t="str">
            <v>8128407876</v>
          </cell>
          <cell r="F87" t="str">
            <v>Nguyễn Thuỳ Linh</v>
          </cell>
          <cell r="N87">
            <v>33226</v>
          </cell>
          <cell r="Q87" t="str">
            <v>Nữ</v>
          </cell>
          <cell r="S87" t="str">
            <v>VN</v>
          </cell>
          <cell r="AA87">
            <v>45527</v>
          </cell>
          <cell r="AL87" t="str">
            <v>Thành phố Hà Nội</v>
          </cell>
        </row>
        <row r="88">
          <cell r="C88" t="str">
            <v>8131087778</v>
          </cell>
          <cell r="F88" t="str">
            <v>Phan Tuấn Anh</v>
          </cell>
          <cell r="N88">
            <v>32748</v>
          </cell>
          <cell r="Q88" t="str">
            <v>Nam</v>
          </cell>
          <cell r="S88" t="str">
            <v>VN</v>
          </cell>
          <cell r="AA88">
            <v>45794</v>
          </cell>
          <cell r="AL88" t="str">
            <v>Thành phố Hải Phòng</v>
          </cell>
        </row>
        <row r="89">
          <cell r="C89" t="str">
            <v>8133689552</v>
          </cell>
          <cell r="F89" t="str">
            <v>Bùi Thu Phương</v>
          </cell>
          <cell r="N89">
            <v>32215</v>
          </cell>
          <cell r="Q89" t="str">
            <v>Nữ</v>
          </cell>
          <cell r="S89" t="str">
            <v>VN</v>
          </cell>
          <cell r="AA89">
            <v>45894</v>
          </cell>
          <cell r="AL89" t="str">
            <v>Thành phố Hà Nội</v>
          </cell>
        </row>
        <row r="90">
          <cell r="C90" t="str">
            <v>8133963847</v>
          </cell>
          <cell r="F90" t="str">
            <v>Ngô Thị Hồng Hòa</v>
          </cell>
          <cell r="N90">
            <v>31971</v>
          </cell>
          <cell r="Q90" t="str">
            <v>Nữ</v>
          </cell>
          <cell r="S90" t="str">
            <v>VN</v>
          </cell>
          <cell r="AA90">
            <v>45833</v>
          </cell>
          <cell r="AL90" t="str">
            <v>Thành phố Hà Nội</v>
          </cell>
        </row>
        <row r="91">
          <cell r="C91" t="str">
            <v>8151038779</v>
          </cell>
          <cell r="F91" t="str">
            <v>Vũ Tuấn</v>
          </cell>
          <cell r="N91">
            <v>30886</v>
          </cell>
          <cell r="Q91" t="str">
            <v>Nam</v>
          </cell>
          <cell r="S91" t="str">
            <v>VN</v>
          </cell>
          <cell r="AA91">
            <v>44872</v>
          </cell>
          <cell r="AL91" t="str">
            <v>Thành phố Hà Nội</v>
          </cell>
        </row>
        <row r="92">
          <cell r="C92" t="str">
            <v>8175453968</v>
          </cell>
          <cell r="F92" t="str">
            <v>Đào Thị Thanh Tuyền</v>
          </cell>
          <cell r="N92">
            <v>33452</v>
          </cell>
          <cell r="Q92" t="str">
            <v>Nữ</v>
          </cell>
          <cell r="S92" t="str">
            <v>VN</v>
          </cell>
          <cell r="AA92">
            <v>45200</v>
          </cell>
          <cell r="AL92" t="str">
            <v>Thành phố Hồ Chí Minh</v>
          </cell>
        </row>
        <row r="93">
          <cell r="C93" t="str">
            <v>8231718748</v>
          </cell>
          <cell r="F93" t="str">
            <v>Đinh Thị Thư</v>
          </cell>
          <cell r="N93">
            <v>33604</v>
          </cell>
          <cell r="Q93" t="str">
            <v>Nữ</v>
          </cell>
          <cell r="S93" t="str">
            <v>VN</v>
          </cell>
          <cell r="AA93">
            <v>45731</v>
          </cell>
          <cell r="AL93" t="str">
            <v>Thành phố Hồ Chí Minh</v>
          </cell>
        </row>
        <row r="94">
          <cell r="C94" t="str">
            <v>8245618856</v>
          </cell>
          <cell r="F94" t="str">
            <v>Nguyễn Thiên Thịnh</v>
          </cell>
          <cell r="N94">
            <v>32734</v>
          </cell>
          <cell r="Q94" t="str">
            <v>Nam</v>
          </cell>
          <cell r="S94" t="str">
            <v>VN</v>
          </cell>
          <cell r="AA94">
            <v>46129</v>
          </cell>
          <cell r="AL94" t="str">
            <v>Thành phố Hồ Chí Minh</v>
          </cell>
        </row>
        <row r="95">
          <cell r="C95" t="str">
            <v>8261641436</v>
          </cell>
          <cell r="F95" t="str">
            <v>Nguyễn Mạnh Hưng</v>
          </cell>
          <cell r="N95">
            <v>35310</v>
          </cell>
          <cell r="Q95" t="str">
            <v>Nam</v>
          </cell>
          <cell r="S95" t="str">
            <v>VN</v>
          </cell>
          <cell r="AA95">
            <v>46174</v>
          </cell>
          <cell r="AL95" t="str">
            <v>Thành phố Hà Nội</v>
          </cell>
        </row>
        <row r="96">
          <cell r="C96" t="str">
            <v>8286309448</v>
          </cell>
          <cell r="F96" t="str">
            <v>Đinh Thị Tuyến</v>
          </cell>
          <cell r="N96">
            <v>32887</v>
          </cell>
          <cell r="Q96" t="str">
            <v>Nữ</v>
          </cell>
          <cell r="S96" t="str">
            <v>VN</v>
          </cell>
          <cell r="AA96">
            <v>45917</v>
          </cell>
          <cell r="AL96" t="str">
            <v>Thành phố Hà Nội</v>
          </cell>
        </row>
        <row r="97">
          <cell r="C97" t="str">
            <v>8294277020</v>
          </cell>
          <cell r="F97" t="str">
            <v>Nguyễn Ngọc Đăng Khoa</v>
          </cell>
          <cell r="N97">
            <v>32808</v>
          </cell>
          <cell r="Q97" t="str">
            <v>Nam</v>
          </cell>
          <cell r="S97" t="str">
            <v>VN</v>
          </cell>
          <cell r="AA97">
            <v>45383</v>
          </cell>
          <cell r="AL97" t="str">
            <v>Thành phố Hồ Chí Minh</v>
          </cell>
        </row>
        <row r="98">
          <cell r="C98" t="str">
            <v>8312061637</v>
          </cell>
          <cell r="F98" t="str">
            <v>Nông Thiên Sang</v>
          </cell>
          <cell r="N98">
            <v>30622</v>
          </cell>
          <cell r="Q98" t="str">
            <v>Nữ</v>
          </cell>
          <cell r="S98" t="str">
            <v>VN</v>
          </cell>
          <cell r="AA98">
            <v>44958</v>
          </cell>
          <cell r="AL98" t="str">
            <v>Thành phố Hà Nội</v>
          </cell>
        </row>
        <row r="99">
          <cell r="C99" t="str">
            <v>8313370116</v>
          </cell>
          <cell r="F99" t="str">
            <v>Đoàn Thị Thanh Tâm</v>
          </cell>
          <cell r="N99">
            <v>32314</v>
          </cell>
          <cell r="Q99" t="str">
            <v>Nữ</v>
          </cell>
          <cell r="S99" t="str">
            <v>VN</v>
          </cell>
          <cell r="AA99">
            <v>45601</v>
          </cell>
          <cell r="AL99" t="str">
            <v>Thành phố Đà Nẵng</v>
          </cell>
        </row>
        <row r="100">
          <cell r="C100" t="str">
            <v>8314604744</v>
          </cell>
          <cell r="F100" t="str">
            <v>Lê Đức Tịnh</v>
          </cell>
          <cell r="N100">
            <v>33830</v>
          </cell>
          <cell r="Q100" t="str">
            <v>Nam</v>
          </cell>
          <cell r="S100" t="str">
            <v>VN</v>
          </cell>
          <cell r="AA100">
            <v>45323</v>
          </cell>
          <cell r="AL100" t="str">
            <v>Thành phố Hồ Chí Minh</v>
          </cell>
        </row>
        <row r="101">
          <cell r="C101" t="str">
            <v>8316874760</v>
          </cell>
          <cell r="F101" t="str">
            <v>Nguyễn Hà Thu</v>
          </cell>
          <cell r="N101">
            <v>34160</v>
          </cell>
          <cell r="Q101" t="str">
            <v>Nữ</v>
          </cell>
          <cell r="S101" t="str">
            <v>VN</v>
          </cell>
          <cell r="AA101">
            <v>45505</v>
          </cell>
          <cell r="AL101" t="str">
            <v>Thành phố Hà Nội</v>
          </cell>
        </row>
        <row r="102">
          <cell r="C102" t="str">
            <v>8319833096</v>
          </cell>
          <cell r="F102" t="str">
            <v>Nguyễn Cao Khoẻ</v>
          </cell>
          <cell r="N102">
            <v>33483</v>
          </cell>
          <cell r="Q102" t="str">
            <v>Nam</v>
          </cell>
          <cell r="S102" t="str">
            <v>VN</v>
          </cell>
          <cell r="AA102">
            <v>45454</v>
          </cell>
          <cell r="AL102" t="str">
            <v>Thành phố Hà Nội</v>
          </cell>
        </row>
        <row r="103">
          <cell r="C103" t="str">
            <v>8324701183</v>
          </cell>
          <cell r="F103" t="str">
            <v>Nguyễn Ngọc Anh</v>
          </cell>
          <cell r="N103">
            <v>32283</v>
          </cell>
          <cell r="Q103" t="str">
            <v>Nam</v>
          </cell>
          <cell r="S103" t="str">
            <v>VN</v>
          </cell>
          <cell r="AA103">
            <v>45017</v>
          </cell>
          <cell r="AL103" t="str">
            <v>Thành phố Hà Nội</v>
          </cell>
        </row>
        <row r="104">
          <cell r="C104" t="str">
            <v>8325567011</v>
          </cell>
          <cell r="F104" t="str">
            <v>Phạm Thị Minh Thơ</v>
          </cell>
          <cell r="N104">
            <v>33134</v>
          </cell>
          <cell r="Q104" t="str">
            <v>Nữ</v>
          </cell>
          <cell r="S104" t="str">
            <v>VN</v>
          </cell>
          <cell r="AA104">
            <v>44986</v>
          </cell>
          <cell r="AL104" t="str">
            <v>Thành phố Hà Nội</v>
          </cell>
        </row>
        <row r="105">
          <cell r="C105" t="str">
            <v>8330215689</v>
          </cell>
          <cell r="F105" t="str">
            <v>Bạch Hoàng Anh</v>
          </cell>
          <cell r="N105">
            <v>33495</v>
          </cell>
          <cell r="Q105" t="str">
            <v>Nam</v>
          </cell>
          <cell r="S105" t="str">
            <v>VN</v>
          </cell>
          <cell r="AA105">
            <v>45383</v>
          </cell>
          <cell r="AL105" t="str">
            <v>Thành phố Hà Nội</v>
          </cell>
        </row>
        <row r="106">
          <cell r="C106" t="str">
            <v>8330462945</v>
          </cell>
          <cell r="F106" t="str">
            <v>Hoàng Thị Phương Dung</v>
          </cell>
          <cell r="N106">
            <v>27202</v>
          </cell>
          <cell r="Q106" t="str">
            <v>Nữ</v>
          </cell>
          <cell r="S106" t="str">
            <v>VN</v>
          </cell>
          <cell r="AA106">
            <v>44859</v>
          </cell>
          <cell r="AL106" t="str">
            <v>Thành phố Hà Nội</v>
          </cell>
        </row>
        <row r="107">
          <cell r="C107" t="str">
            <v>8330507843</v>
          </cell>
          <cell r="F107" t="str">
            <v>Trần Thị Thúy An</v>
          </cell>
          <cell r="N107">
            <v>32903</v>
          </cell>
          <cell r="Q107" t="str">
            <v>Nữ</v>
          </cell>
          <cell r="S107" t="str">
            <v/>
          </cell>
          <cell r="AA107">
            <v>44898</v>
          </cell>
          <cell r="AL107" t="str">
            <v>Thành phố Hồ Chí Minh</v>
          </cell>
        </row>
        <row r="108">
          <cell r="C108" t="str">
            <v>8336508480</v>
          </cell>
          <cell r="F108" t="str">
            <v>Phan Thế Huy</v>
          </cell>
          <cell r="N108">
            <v>34462</v>
          </cell>
          <cell r="Q108" t="str">
            <v>Nam</v>
          </cell>
          <cell r="S108" t="str">
            <v>VN</v>
          </cell>
          <cell r="AA108">
            <v>45194</v>
          </cell>
          <cell r="AL108" t="str">
            <v>Thành phố Đà Nẵng</v>
          </cell>
        </row>
        <row r="109">
          <cell r="C109" t="str">
            <v>8340531838</v>
          </cell>
          <cell r="F109" t="str">
            <v>Lê Thị Tuyên</v>
          </cell>
          <cell r="N109">
            <v>33300</v>
          </cell>
          <cell r="Q109" t="str">
            <v>Nữ</v>
          </cell>
          <cell r="S109" t="str">
            <v>VN</v>
          </cell>
          <cell r="AA109">
            <v>45056</v>
          </cell>
          <cell r="AL109" t="str">
            <v>Thành phố Hà Nội</v>
          </cell>
        </row>
        <row r="110">
          <cell r="C110" t="str">
            <v>8342032591</v>
          </cell>
          <cell r="F110" t="str">
            <v>Lê Thu Hà</v>
          </cell>
          <cell r="N110">
            <v>33374</v>
          </cell>
          <cell r="Q110" t="str">
            <v>Nữ</v>
          </cell>
          <cell r="S110" t="str">
            <v>VN</v>
          </cell>
          <cell r="AA110">
            <v>46148</v>
          </cell>
          <cell r="AL110" t="str">
            <v>Thành phố Hà Nội</v>
          </cell>
        </row>
        <row r="111">
          <cell r="C111" t="str">
            <v>8343752585</v>
          </cell>
          <cell r="F111" t="str">
            <v>Nguyễn Thị Hải Yến</v>
          </cell>
          <cell r="N111">
            <v>32909</v>
          </cell>
          <cell r="Q111" t="str">
            <v>Nữ</v>
          </cell>
          <cell r="S111" t="str">
            <v>VN</v>
          </cell>
          <cell r="AA111">
            <v>44958</v>
          </cell>
          <cell r="AL111" t="str">
            <v>Thành phố Hồ Chí Minh</v>
          </cell>
        </row>
        <row r="112">
          <cell r="C112" t="str">
            <v>8348069894</v>
          </cell>
          <cell r="F112" t="str">
            <v>Nguyễn Thị Giang</v>
          </cell>
          <cell r="N112">
            <v>33947</v>
          </cell>
          <cell r="Q112" t="str">
            <v>Nữ</v>
          </cell>
          <cell r="S112" t="str">
            <v>VN</v>
          </cell>
          <cell r="AA112">
            <v>44936</v>
          </cell>
          <cell r="AL112" t="str">
            <v>Thành phố Hà Nội</v>
          </cell>
        </row>
        <row r="113">
          <cell r="C113" t="str">
            <v>8354525753</v>
          </cell>
          <cell r="F113" t="str">
            <v>Nguyễn Hoàn Nguyên</v>
          </cell>
          <cell r="N113">
            <v>33721</v>
          </cell>
          <cell r="Q113" t="str">
            <v>Nam</v>
          </cell>
          <cell r="S113" t="str">
            <v>VN</v>
          </cell>
          <cell r="AA113">
            <v>44986</v>
          </cell>
          <cell r="AL113" t="str">
            <v>Thành phố Hồ Chí Minh</v>
          </cell>
        </row>
        <row r="114">
          <cell r="C114" t="str">
            <v>8355451293</v>
          </cell>
          <cell r="F114" t="str">
            <v>Trần Trung Huân</v>
          </cell>
          <cell r="N114">
            <v>32574</v>
          </cell>
          <cell r="Q114" t="str">
            <v>Nam</v>
          </cell>
          <cell r="S114" t="str">
            <v>VN</v>
          </cell>
          <cell r="AA114">
            <v>44986</v>
          </cell>
          <cell r="AL114" t="str">
            <v>Thành phố Hồ Chí Minh</v>
          </cell>
        </row>
        <row r="115">
          <cell r="C115" t="str">
            <v>8355543392</v>
          </cell>
          <cell r="F115" t="str">
            <v>Lê Hoàng Việt</v>
          </cell>
          <cell r="N115">
            <v>33213</v>
          </cell>
          <cell r="Q115" t="str">
            <v>Nam</v>
          </cell>
          <cell r="S115" t="str">
            <v>VN</v>
          </cell>
          <cell r="AA115">
            <v>45828</v>
          </cell>
          <cell r="AL115" t="str">
            <v>Thành phố Hà Nội</v>
          </cell>
        </row>
        <row r="116">
          <cell r="C116" t="str">
            <v>8357883330</v>
          </cell>
          <cell r="F116" t="str">
            <v>Huỳnh Thanh Hóa</v>
          </cell>
          <cell r="N116">
            <v>33313</v>
          </cell>
          <cell r="Q116" t="str">
            <v>Nam</v>
          </cell>
          <cell r="S116" t="str">
            <v>VN</v>
          </cell>
          <cell r="AA116">
            <v>45292</v>
          </cell>
          <cell r="AL116" t="str">
            <v>Thành phố Hồ Chí Minh</v>
          </cell>
        </row>
        <row r="117">
          <cell r="C117" t="str">
            <v>8362375854</v>
          </cell>
          <cell r="F117" t="str">
            <v>Huỳnh Phước Long</v>
          </cell>
          <cell r="N117">
            <v>31368</v>
          </cell>
          <cell r="Q117" t="str">
            <v>Nam</v>
          </cell>
          <cell r="S117" t="str">
            <v>VN</v>
          </cell>
          <cell r="AA117">
            <v>45691</v>
          </cell>
          <cell r="AL117" t="str">
            <v>Thành phố Hồ Chí Minh</v>
          </cell>
        </row>
        <row r="118">
          <cell r="C118" t="str">
            <v>8364178876</v>
          </cell>
          <cell r="F118" t="str">
            <v>Nguyễn Duy Hải</v>
          </cell>
          <cell r="N118">
            <v>35069</v>
          </cell>
          <cell r="Q118" t="str">
            <v>Nam</v>
          </cell>
          <cell r="S118" t="str">
            <v>VN</v>
          </cell>
          <cell r="AA118">
            <v>45905</v>
          </cell>
          <cell r="AL118" t="str">
            <v>Thành phố Hà Nội</v>
          </cell>
        </row>
        <row r="119">
          <cell r="C119" t="str">
            <v>8365612655</v>
          </cell>
          <cell r="F119" t="str">
            <v>Trần Văn Thắng</v>
          </cell>
          <cell r="N119">
            <v>33724</v>
          </cell>
          <cell r="Q119" t="str">
            <v>Nam</v>
          </cell>
          <cell r="S119" t="str">
            <v>VN</v>
          </cell>
          <cell r="AA119">
            <v>45457</v>
          </cell>
          <cell r="AL119" t="str">
            <v>Thành phố Hà Nội</v>
          </cell>
        </row>
        <row r="120">
          <cell r="C120" t="str">
            <v>8366736156</v>
          </cell>
          <cell r="F120" t="str">
            <v>Nguyễn Tấn Tâm</v>
          </cell>
          <cell r="N120">
            <v>33649</v>
          </cell>
          <cell r="Q120" t="str">
            <v>Nam</v>
          </cell>
          <cell r="S120" t="str">
            <v>VN</v>
          </cell>
          <cell r="AA120">
            <v>46125</v>
          </cell>
          <cell r="AL120" t="str">
            <v>Thành phố Hồ Chí Minh</v>
          </cell>
        </row>
        <row r="121">
          <cell r="C121" t="str">
            <v>8368206242</v>
          </cell>
          <cell r="F121" t="str">
            <v>Điều Thị Tường Vi</v>
          </cell>
          <cell r="N121">
            <v>34258</v>
          </cell>
          <cell r="Q121" t="str">
            <v>Nữ</v>
          </cell>
          <cell r="S121" t="str">
            <v>VN</v>
          </cell>
          <cell r="AA121">
            <v>45569</v>
          </cell>
          <cell r="AL121" t="str">
            <v>Thành phố Hồ Chí Minh</v>
          </cell>
        </row>
        <row r="122">
          <cell r="C122" t="str">
            <v>8369176826</v>
          </cell>
          <cell r="F122" t="str">
            <v>Nguyễn Ngọc Thức</v>
          </cell>
          <cell r="N122">
            <v>35781</v>
          </cell>
          <cell r="Q122" t="str">
            <v>Nam</v>
          </cell>
          <cell r="S122" t="str">
            <v>VN</v>
          </cell>
          <cell r="AA122">
            <v>45102</v>
          </cell>
          <cell r="AL122" t="str">
            <v>Thành phố Đà Nẵng</v>
          </cell>
        </row>
        <row r="123">
          <cell r="C123" t="str">
            <v>8370393286</v>
          </cell>
          <cell r="F123" t="str">
            <v>Nguyễn Bình An</v>
          </cell>
          <cell r="N123">
            <v>34444</v>
          </cell>
          <cell r="Q123" t="str">
            <v>Nam</v>
          </cell>
          <cell r="S123" t="str">
            <v>VN</v>
          </cell>
          <cell r="AA123">
            <v>46137</v>
          </cell>
          <cell r="AL123" t="str">
            <v>Thành phố Hà Nội</v>
          </cell>
        </row>
        <row r="124">
          <cell r="C124" t="str">
            <v>8370757159</v>
          </cell>
          <cell r="F124" t="str">
            <v>Đỗ Thiên Hoàng Anh</v>
          </cell>
          <cell r="N124">
            <v>34313</v>
          </cell>
          <cell r="Q124" t="str">
            <v>Nữ</v>
          </cell>
          <cell r="S124" t="str">
            <v>VN</v>
          </cell>
          <cell r="AA124">
            <v>44851</v>
          </cell>
          <cell r="AL124" t="str">
            <v>Thành phố Hà Nội</v>
          </cell>
        </row>
        <row r="125">
          <cell r="C125" t="str">
            <v>8371851267</v>
          </cell>
          <cell r="F125" t="str">
            <v>Lê Thị Ngọc Mỹ</v>
          </cell>
          <cell r="N125">
            <v>33942</v>
          </cell>
          <cell r="Q125" t="str">
            <v>Nữ</v>
          </cell>
          <cell r="S125" t="str">
            <v>VN</v>
          </cell>
          <cell r="AA125">
            <v>46156</v>
          </cell>
          <cell r="AL125" t="str">
            <v>Thành phố Hà Nội</v>
          </cell>
        </row>
        <row r="126">
          <cell r="C126" t="str">
            <v>8380585318</v>
          </cell>
          <cell r="F126" t="str">
            <v>Tô Tuấn Tùng</v>
          </cell>
          <cell r="N126">
            <v>34131</v>
          </cell>
          <cell r="Q126" t="str">
            <v>Nam</v>
          </cell>
          <cell r="S126" t="str">
            <v>VN</v>
          </cell>
          <cell r="AA126">
            <v>45809</v>
          </cell>
          <cell r="AL126" t="str">
            <v>Thành phố Hà Nội</v>
          </cell>
        </row>
        <row r="127">
          <cell r="C127" t="str">
            <v>8380705079</v>
          </cell>
          <cell r="F127" t="str">
            <v>Trần Thanh Phương</v>
          </cell>
          <cell r="N127">
            <v>37175</v>
          </cell>
          <cell r="Q127" t="str">
            <v>Nữ</v>
          </cell>
          <cell r="S127" t="str">
            <v>VN</v>
          </cell>
          <cell r="AA127">
            <v>45645</v>
          </cell>
          <cell r="AL127" t="str">
            <v>Thành phố Hà Nội</v>
          </cell>
        </row>
        <row r="128">
          <cell r="C128" t="str">
            <v>8387066061</v>
          </cell>
          <cell r="F128" t="str">
            <v>Bùi Thị Loan</v>
          </cell>
          <cell r="N128">
            <v>36468</v>
          </cell>
          <cell r="Q128" t="str">
            <v>Nữ</v>
          </cell>
          <cell r="S128" t="str">
            <v>VN</v>
          </cell>
          <cell r="AA128">
            <v>44999</v>
          </cell>
          <cell r="AL128" t="str">
            <v>Thành phố Hà Nội</v>
          </cell>
        </row>
        <row r="129">
          <cell r="C129" t="str">
            <v>8388032795</v>
          </cell>
          <cell r="F129" t="str">
            <v>Vưu Trọng Nghĩa</v>
          </cell>
          <cell r="N129">
            <v>34046</v>
          </cell>
          <cell r="Q129" t="str">
            <v>Nam</v>
          </cell>
          <cell r="S129" t="str">
            <v>VN</v>
          </cell>
          <cell r="AA129">
            <v>45748</v>
          </cell>
          <cell r="AL129" t="str">
            <v>Tỉnh Bạc Liêu</v>
          </cell>
        </row>
        <row r="130">
          <cell r="C130" t="str">
            <v>8388623533</v>
          </cell>
          <cell r="F130" t="str">
            <v>Trần Duy Anh</v>
          </cell>
          <cell r="N130">
            <v>35712</v>
          </cell>
          <cell r="Q130" t="str">
            <v>Nam</v>
          </cell>
          <cell r="S130" t="str">
            <v>VN</v>
          </cell>
          <cell r="AA130">
            <v>46198</v>
          </cell>
          <cell r="AL130" t="str">
            <v>Thành phố Hà Nội</v>
          </cell>
        </row>
        <row r="131">
          <cell r="C131" t="str">
            <v>8390144954</v>
          </cell>
          <cell r="F131" t="str">
            <v>Lê Hồ Nguyên</v>
          </cell>
          <cell r="N131">
            <v>36586</v>
          </cell>
          <cell r="Q131" t="str">
            <v>Nam</v>
          </cell>
          <cell r="S131" t="str">
            <v>VN</v>
          </cell>
          <cell r="AA131">
            <v>45213</v>
          </cell>
          <cell r="AL131" t="str">
            <v>Thành phố Hà Nội</v>
          </cell>
        </row>
        <row r="132">
          <cell r="C132" t="str">
            <v>8393313706</v>
          </cell>
          <cell r="F132" t="str">
            <v>Hồ Tấn Phát</v>
          </cell>
          <cell r="N132">
            <v>34576</v>
          </cell>
          <cell r="Q132" t="str">
            <v>Nam</v>
          </cell>
          <cell r="S132" t="str">
            <v>VN</v>
          </cell>
          <cell r="AA132">
            <v>45478</v>
          </cell>
          <cell r="AL132" t="str">
            <v>Thành phố Hồ Chí Minh</v>
          </cell>
        </row>
        <row r="133">
          <cell r="C133" t="str">
            <v>8400754165</v>
          </cell>
          <cell r="F133" t="str">
            <v>Trần Hoàng Nam</v>
          </cell>
          <cell r="N133">
            <v>32918</v>
          </cell>
          <cell r="Q133" t="str">
            <v>Nam</v>
          </cell>
          <cell r="S133" t="str">
            <v>VN</v>
          </cell>
          <cell r="AA133">
            <v>45906</v>
          </cell>
          <cell r="AL133" t="str">
            <v>Thành phố Hồ Chí Minh</v>
          </cell>
        </row>
        <row r="134">
          <cell r="C134" t="str">
            <v>8400851257</v>
          </cell>
          <cell r="F134" t="str">
            <v>Nguyễn Hoàng Đăng Khoa</v>
          </cell>
          <cell r="N134">
            <v>35418</v>
          </cell>
          <cell r="Q134" t="str">
            <v>Nam</v>
          </cell>
          <cell r="S134" t="str">
            <v>VN</v>
          </cell>
          <cell r="AA134">
            <v>46196</v>
          </cell>
          <cell r="AL134" t="str">
            <v>Thành phố Hồ Chí Minh</v>
          </cell>
        </row>
        <row r="135">
          <cell r="C135" t="str">
            <v>8403872512</v>
          </cell>
          <cell r="F135" t="str">
            <v>Lê Minh Trung</v>
          </cell>
          <cell r="N135">
            <v>31684</v>
          </cell>
          <cell r="Q135" t="str">
            <v>Nam</v>
          </cell>
          <cell r="S135" t="str">
            <v>VN</v>
          </cell>
          <cell r="AA135">
            <v>45934</v>
          </cell>
          <cell r="AL135" t="str">
            <v>Thành phố Hà Nội</v>
          </cell>
        </row>
        <row r="136">
          <cell r="C136" t="str">
            <v>8404192809</v>
          </cell>
          <cell r="F136" t="str">
            <v>Đoàn Vĩnh Phúc</v>
          </cell>
          <cell r="N136">
            <v>32994</v>
          </cell>
          <cell r="Q136" t="str">
            <v>Nam</v>
          </cell>
          <cell r="S136" t="str">
            <v>VN</v>
          </cell>
          <cell r="AA136">
            <v>45296</v>
          </cell>
          <cell r="AL136" t="str">
            <v>Thành phố Hồ Chí Minh</v>
          </cell>
        </row>
        <row r="137">
          <cell r="C137" t="str">
            <v>8407091830</v>
          </cell>
          <cell r="F137" t="str">
            <v>Nguyễn Phương Lâm</v>
          </cell>
          <cell r="N137">
            <v>34641</v>
          </cell>
          <cell r="Q137" t="str">
            <v>Nữ</v>
          </cell>
          <cell r="S137" t="str">
            <v>VN</v>
          </cell>
          <cell r="AA137">
            <v>45886</v>
          </cell>
          <cell r="AL137" t="str">
            <v>Thành phố Hà Nội</v>
          </cell>
        </row>
        <row r="138">
          <cell r="C138" t="str">
            <v>8408344509</v>
          </cell>
          <cell r="F138" t="str">
            <v>Đặng Vũ Đức</v>
          </cell>
          <cell r="N138">
            <v>35472</v>
          </cell>
          <cell r="Q138" t="str">
            <v>Nam</v>
          </cell>
          <cell r="S138" t="str">
            <v>VN</v>
          </cell>
          <cell r="AA138">
            <v>45184</v>
          </cell>
          <cell r="AL138" t="str">
            <v>Thành phố Hà Nội</v>
          </cell>
        </row>
        <row r="139">
          <cell r="C139" t="str">
            <v>8410076568</v>
          </cell>
          <cell r="F139" t="str">
            <v>Huỳnh Thanh Thanh</v>
          </cell>
          <cell r="N139">
            <v>35706</v>
          </cell>
          <cell r="Q139" t="str">
            <v>Nữ</v>
          </cell>
          <cell r="S139" t="str">
            <v>VN</v>
          </cell>
          <cell r="AA139">
            <v>45474</v>
          </cell>
          <cell r="AL139" t="str">
            <v>Thành phố Hồ Chí Minh</v>
          </cell>
        </row>
        <row r="140">
          <cell r="C140" t="str">
            <v>8414951371</v>
          </cell>
          <cell r="F140" t="str">
            <v>Lê Thị Tuyền</v>
          </cell>
          <cell r="N140">
            <v>33945</v>
          </cell>
          <cell r="Q140" t="str">
            <v>Nữ</v>
          </cell>
          <cell r="S140" t="str">
            <v>VN</v>
          </cell>
          <cell r="AA140">
            <v>45560</v>
          </cell>
          <cell r="AL140" t="str">
            <v>Thành phố Hồ Chí Minh</v>
          </cell>
        </row>
        <row r="141">
          <cell r="C141" t="str">
            <v>8416071735</v>
          </cell>
          <cell r="F141" t="str">
            <v>Lê Thị Minh Phương</v>
          </cell>
          <cell r="N141">
            <v>34237</v>
          </cell>
          <cell r="Q141" t="str">
            <v>Nữ</v>
          </cell>
          <cell r="S141" t="str">
            <v>VN</v>
          </cell>
          <cell r="AA141">
            <v>45139</v>
          </cell>
          <cell r="AL141" t="str">
            <v>Thành phố Hà Nội</v>
          </cell>
        </row>
        <row r="142">
          <cell r="C142" t="str">
            <v>8417597601</v>
          </cell>
          <cell r="F142" t="str">
            <v>Nguyễn Thái Bình</v>
          </cell>
          <cell r="N142">
            <v>34077</v>
          </cell>
          <cell r="Q142" t="str">
            <v>Nam</v>
          </cell>
          <cell r="S142" t="str">
            <v>VN</v>
          </cell>
          <cell r="AA142">
            <v>44986</v>
          </cell>
          <cell r="AL142" t="str">
            <v>Thành phố Cần Thơ</v>
          </cell>
        </row>
        <row r="143">
          <cell r="C143" t="str">
            <v>8421436935</v>
          </cell>
          <cell r="F143" t="str">
            <v>Dương Minh Đại</v>
          </cell>
          <cell r="N143">
            <v>31948</v>
          </cell>
          <cell r="Q143" t="str">
            <v>Nam</v>
          </cell>
          <cell r="S143" t="str">
            <v>VN</v>
          </cell>
          <cell r="AA143">
            <v>45194</v>
          </cell>
          <cell r="AL143" t="str">
            <v>Thành phố Đà Nẵng</v>
          </cell>
        </row>
        <row r="144">
          <cell r="C144" t="str">
            <v>8423234733</v>
          </cell>
          <cell r="F144" t="str">
            <v>Đặng Trọng Đức</v>
          </cell>
          <cell r="N144">
            <v>35360</v>
          </cell>
          <cell r="Q144" t="str">
            <v>Nam</v>
          </cell>
          <cell r="S144" t="str">
            <v>VN</v>
          </cell>
          <cell r="AA144">
            <v>44830</v>
          </cell>
        </row>
        <row r="145">
          <cell r="C145" t="str">
            <v>8425502667</v>
          </cell>
          <cell r="F145" t="str">
            <v>Ngô Hải Triều</v>
          </cell>
          <cell r="N145">
            <v>33925</v>
          </cell>
          <cell r="Q145" t="str">
            <v>Nam</v>
          </cell>
          <cell r="S145" t="str">
            <v>VN</v>
          </cell>
          <cell r="AA145">
            <v>45836</v>
          </cell>
          <cell r="AL145" t="str">
            <v>Tỉnh Bạc Liêu</v>
          </cell>
        </row>
        <row r="146">
          <cell r="C146" t="str">
            <v>8429322400</v>
          </cell>
          <cell r="F146" t="str">
            <v>Lê Minh Đức</v>
          </cell>
          <cell r="N146">
            <v>33134</v>
          </cell>
          <cell r="Q146" t="str">
            <v>Nam</v>
          </cell>
          <cell r="S146" t="str">
            <v>VN</v>
          </cell>
          <cell r="AA146">
            <v>45465</v>
          </cell>
          <cell r="AL146" t="str">
            <v>Thành phố Hà Nội</v>
          </cell>
        </row>
        <row r="147">
          <cell r="C147" t="str">
            <v>8430482180</v>
          </cell>
          <cell r="F147" t="str">
            <v>Hồ Thị Ngọc Huyền</v>
          </cell>
          <cell r="N147">
            <v>34016</v>
          </cell>
          <cell r="Q147" t="str">
            <v>Nữ</v>
          </cell>
          <cell r="S147" t="str">
            <v>VN</v>
          </cell>
          <cell r="AA147">
            <v>46036</v>
          </cell>
          <cell r="AL147" t="str">
            <v>Thành phố Hồ Chí Minh</v>
          </cell>
        </row>
        <row r="148">
          <cell r="C148" t="str">
            <v>8431579410</v>
          </cell>
          <cell r="F148" t="str">
            <v>Lê Hồng Bỉnh</v>
          </cell>
          <cell r="N148">
            <v>33557</v>
          </cell>
          <cell r="Q148" t="str">
            <v>Nam</v>
          </cell>
          <cell r="S148" t="str">
            <v>VN</v>
          </cell>
          <cell r="AA148">
            <v>45108</v>
          </cell>
          <cell r="AL148" t="str">
            <v>Thành phố Hồ Chí Minh</v>
          </cell>
        </row>
        <row r="149">
          <cell r="C149" t="str">
            <v>8432879417</v>
          </cell>
          <cell r="F149" t="str">
            <v>Bùi Thị Dinh</v>
          </cell>
          <cell r="N149">
            <v>34017</v>
          </cell>
          <cell r="Q149" t="str">
            <v>Nữ</v>
          </cell>
          <cell r="S149" t="str">
            <v>VN</v>
          </cell>
          <cell r="AA149">
            <v>45809</v>
          </cell>
          <cell r="AL149" t="str">
            <v>Thành phố Hà Nội</v>
          </cell>
        </row>
        <row r="150">
          <cell r="C150" t="str">
            <v>8436587077</v>
          </cell>
          <cell r="F150" t="str">
            <v>Đặng Thị Kim Ngân</v>
          </cell>
          <cell r="N150">
            <v>33244</v>
          </cell>
          <cell r="Q150" t="str">
            <v>Nữ</v>
          </cell>
          <cell r="S150" t="str">
            <v>VN</v>
          </cell>
          <cell r="AA150">
            <v>45533</v>
          </cell>
          <cell r="AL150" t="str">
            <v>Thành phố Hồ Chí Minh</v>
          </cell>
        </row>
        <row r="151">
          <cell r="C151" t="str">
            <v>8437428658</v>
          </cell>
          <cell r="F151" t="str">
            <v>Nguyễn Thị Vân</v>
          </cell>
          <cell r="N151">
            <v>34485</v>
          </cell>
          <cell r="Q151" t="str">
            <v>Nữ</v>
          </cell>
          <cell r="S151" t="str">
            <v>VN</v>
          </cell>
          <cell r="AA151">
            <v>45777</v>
          </cell>
          <cell r="AL151" t="str">
            <v>Thành phố Hà Nội</v>
          </cell>
        </row>
        <row r="152">
          <cell r="C152" t="str">
            <v>8442801240</v>
          </cell>
          <cell r="F152" t="str">
            <v>Trần Thụy Hoàng Hân</v>
          </cell>
          <cell r="N152">
            <v>35373</v>
          </cell>
          <cell r="Q152" t="str">
            <v>Nữ</v>
          </cell>
          <cell r="S152" t="str">
            <v>VN</v>
          </cell>
          <cell r="AA152">
            <v>45985</v>
          </cell>
          <cell r="AL152" t="str">
            <v>Thành phố Hồ Chí Minh</v>
          </cell>
        </row>
        <row r="153">
          <cell r="C153" t="str">
            <v>8444553219</v>
          </cell>
          <cell r="F153" t="str">
            <v>Cao Nguyễn Thắng</v>
          </cell>
          <cell r="N153">
            <v>33653</v>
          </cell>
          <cell r="Q153" t="str">
            <v>Nam</v>
          </cell>
          <cell r="S153" t="str">
            <v>VN</v>
          </cell>
          <cell r="AA153">
            <v>45627</v>
          </cell>
          <cell r="AL153" t="str">
            <v>Thành phố Hà Nội</v>
          </cell>
        </row>
        <row r="154">
          <cell r="C154" t="str">
            <v>8445047180</v>
          </cell>
          <cell r="F154" t="str">
            <v>Nguyễn Hữu Nghiêm</v>
          </cell>
          <cell r="N154">
            <v>34219</v>
          </cell>
          <cell r="Q154" t="str">
            <v>Nam</v>
          </cell>
          <cell r="S154" t="str">
            <v>VN</v>
          </cell>
          <cell r="AA154">
            <v>45398</v>
          </cell>
          <cell r="AL154" t="str">
            <v>Thành phố Cần Thơ</v>
          </cell>
        </row>
        <row r="155">
          <cell r="C155" t="str">
            <v>8447132970</v>
          </cell>
          <cell r="F155" t="str">
            <v>Phạm Thị Nguyệt</v>
          </cell>
          <cell r="N155">
            <v>30859</v>
          </cell>
          <cell r="Q155" t="str">
            <v>Nữ</v>
          </cell>
          <cell r="S155" t="str">
            <v>VN</v>
          </cell>
          <cell r="AA155">
            <v>44927</v>
          </cell>
          <cell r="AL155" t="str">
            <v>Thành phố Hồ Chí Minh</v>
          </cell>
        </row>
        <row r="156">
          <cell r="C156" t="str">
            <v>8448821162</v>
          </cell>
          <cell r="F156" t="str">
            <v>Nguyễn Thị Hà</v>
          </cell>
          <cell r="N156">
            <v>37163</v>
          </cell>
          <cell r="Q156" t="str">
            <v>Nữ</v>
          </cell>
          <cell r="S156" t="str">
            <v>VN</v>
          </cell>
          <cell r="AA156">
            <v>45488</v>
          </cell>
          <cell r="AL156" t="str">
            <v>Thành phố Hà Nội</v>
          </cell>
        </row>
        <row r="157">
          <cell r="C157" t="str">
            <v>8452560234</v>
          </cell>
          <cell r="F157" t="str">
            <v>Đỗ Diệu Huyền</v>
          </cell>
          <cell r="N157">
            <v>34135</v>
          </cell>
          <cell r="Q157" t="str">
            <v>Nữ</v>
          </cell>
          <cell r="S157" t="str">
            <v>VN</v>
          </cell>
          <cell r="AA157">
            <v>45420</v>
          </cell>
          <cell r="AL157" t="str">
            <v>Thành phố Hà Nội</v>
          </cell>
        </row>
        <row r="158">
          <cell r="C158" t="str">
            <v>8452560241</v>
          </cell>
          <cell r="F158" t="str">
            <v>Trần Thị Hoài Thương</v>
          </cell>
          <cell r="N158">
            <v>34232</v>
          </cell>
          <cell r="Q158" t="str">
            <v>Nữ</v>
          </cell>
          <cell r="S158" t="str">
            <v>VN</v>
          </cell>
          <cell r="AA158">
            <v>45503</v>
          </cell>
          <cell r="AL158" t="str">
            <v>Thành phố Hà Nội</v>
          </cell>
        </row>
        <row r="159">
          <cell r="C159" t="str">
            <v>8452963988</v>
          </cell>
          <cell r="F159" t="str">
            <v>Võ Chiến Quyết</v>
          </cell>
          <cell r="N159">
            <v>34309</v>
          </cell>
          <cell r="Q159" t="str">
            <v>Nam</v>
          </cell>
          <cell r="S159" t="str">
            <v>VN</v>
          </cell>
          <cell r="AA159">
            <v>45031</v>
          </cell>
          <cell r="AL159" t="str">
            <v>Thành phố Hồ Chí Minh</v>
          </cell>
        </row>
        <row r="160">
          <cell r="C160" t="str">
            <v>8455851182</v>
          </cell>
          <cell r="F160" t="str">
            <v>Phạm Minh Anh</v>
          </cell>
          <cell r="N160">
            <v>36458</v>
          </cell>
          <cell r="Q160" t="str">
            <v>Nữ</v>
          </cell>
          <cell r="S160" t="str">
            <v>VN</v>
          </cell>
          <cell r="AA160">
            <v>46149</v>
          </cell>
          <cell r="AL160" t="str">
            <v>Thành phố Hà Nội</v>
          </cell>
        </row>
        <row r="161">
          <cell r="C161" t="str">
            <v>8455886266</v>
          </cell>
          <cell r="F161" t="str">
            <v>Đỗ Thị Thủy Tiên</v>
          </cell>
          <cell r="N161">
            <v>34920</v>
          </cell>
          <cell r="Q161" t="str">
            <v>Nữ</v>
          </cell>
          <cell r="S161" t="str">
            <v>VN</v>
          </cell>
          <cell r="AA161">
            <v>45145</v>
          </cell>
          <cell r="AL161" t="str">
            <v>Thành phố Hồ Chí Minh</v>
          </cell>
        </row>
        <row r="162">
          <cell r="C162" t="str">
            <v>8459662235</v>
          </cell>
          <cell r="F162" t="str">
            <v>Nguyễn Khánh Linh</v>
          </cell>
          <cell r="N162">
            <v>35701</v>
          </cell>
          <cell r="Q162" t="str">
            <v>Nữ</v>
          </cell>
          <cell r="S162" t="str">
            <v>VN</v>
          </cell>
          <cell r="AA162">
            <v>45163</v>
          </cell>
          <cell r="AL162" t="str">
            <v>Thành phố Hà Nội</v>
          </cell>
        </row>
        <row r="163">
          <cell r="C163" t="str">
            <v>8461164540</v>
          </cell>
          <cell r="F163" t="str">
            <v>Lê Trọng Nhân</v>
          </cell>
          <cell r="N163">
            <v>34024</v>
          </cell>
          <cell r="Q163" t="str">
            <v>Nam</v>
          </cell>
          <cell r="S163" t="str">
            <v>VN</v>
          </cell>
          <cell r="AA163">
            <v>45078</v>
          </cell>
          <cell r="AL163" t="str">
            <v>Thành phố Cần Thơ</v>
          </cell>
        </row>
        <row r="164">
          <cell r="C164" t="str">
            <v>8461852730</v>
          </cell>
          <cell r="F164" t="str">
            <v>Đỗ Thị Lệ Thanh</v>
          </cell>
          <cell r="N164">
            <v>29606</v>
          </cell>
          <cell r="Q164" t="str">
            <v>Nữ</v>
          </cell>
          <cell r="S164" t="str">
            <v>VN</v>
          </cell>
          <cell r="AA164">
            <v>45111</v>
          </cell>
          <cell r="AL164" t="str">
            <v>Thành phố Hà Nội</v>
          </cell>
        </row>
        <row r="165">
          <cell r="C165" t="str">
            <v>8463415535</v>
          </cell>
          <cell r="F165" t="str">
            <v>Hoàng Việt Hà</v>
          </cell>
          <cell r="N165">
            <v>34654</v>
          </cell>
          <cell r="Q165" t="str">
            <v>Nam</v>
          </cell>
          <cell r="S165" t="str">
            <v>VN</v>
          </cell>
          <cell r="AA165">
            <v>45415</v>
          </cell>
          <cell r="AL165" t="str">
            <v>Thành phố Hà Nội</v>
          </cell>
        </row>
        <row r="166">
          <cell r="C166" t="str">
            <v>8463757874</v>
          </cell>
          <cell r="F166" t="str">
            <v>Nguyễn Thị Huệ</v>
          </cell>
          <cell r="N166">
            <v>35039</v>
          </cell>
          <cell r="Q166" t="str">
            <v>Nữ</v>
          </cell>
          <cell r="S166" t="str">
            <v>VN</v>
          </cell>
          <cell r="AA166">
            <v>45517</v>
          </cell>
          <cell r="AL166" t="str">
            <v>Thành phố Hà Nội</v>
          </cell>
        </row>
        <row r="167">
          <cell r="C167" t="str">
            <v>8464012440</v>
          </cell>
          <cell r="F167" t="str">
            <v>Bùi Minh Tới</v>
          </cell>
          <cell r="N167">
            <v>34475</v>
          </cell>
          <cell r="Q167" t="str">
            <v>Nam</v>
          </cell>
          <cell r="S167" t="str">
            <v>VN</v>
          </cell>
          <cell r="AA167">
            <v>45471</v>
          </cell>
          <cell r="AL167" t="str">
            <v>Thành phố Hà Nội</v>
          </cell>
        </row>
        <row r="168">
          <cell r="C168" t="str">
            <v>8464536733</v>
          </cell>
          <cell r="F168" t="str">
            <v>Bùi Ngọc Phúc</v>
          </cell>
          <cell r="N168">
            <v>34434</v>
          </cell>
          <cell r="Q168" t="str">
            <v>Nam</v>
          </cell>
          <cell r="S168" t="str">
            <v>VN</v>
          </cell>
          <cell r="AA168">
            <v>46032</v>
          </cell>
          <cell r="AL168" t="str">
            <v>Thành phố Hồ Chí Minh</v>
          </cell>
        </row>
        <row r="169">
          <cell r="C169" t="str">
            <v>8466586514</v>
          </cell>
          <cell r="F169" t="str">
            <v>Lê Trọng Huy</v>
          </cell>
          <cell r="N169">
            <v>34878</v>
          </cell>
          <cell r="Q169" t="str">
            <v>Nam</v>
          </cell>
          <cell r="S169" t="str">
            <v>VN</v>
          </cell>
          <cell r="AA169">
            <v>45394</v>
          </cell>
          <cell r="AL169" t="str">
            <v>Thành phố Hồ Chí Minh</v>
          </cell>
        </row>
        <row r="170">
          <cell r="C170" t="str">
            <v>8466740251</v>
          </cell>
          <cell r="F170" t="str">
            <v>Vũ Quang Linh</v>
          </cell>
          <cell r="N170">
            <v>36275</v>
          </cell>
          <cell r="Q170" t="str">
            <v>Nam</v>
          </cell>
          <cell r="S170" t="str">
            <v>VN</v>
          </cell>
          <cell r="AA170">
            <v>45559</v>
          </cell>
          <cell r="AL170" t="str">
            <v>Thành phố Hồ Chí Minh</v>
          </cell>
        </row>
        <row r="171">
          <cell r="C171" t="str">
            <v>8467154813</v>
          </cell>
          <cell r="F171" t="str">
            <v>Đoàn Trung Hiếu</v>
          </cell>
          <cell r="N171">
            <v>34282</v>
          </cell>
          <cell r="Q171" t="str">
            <v>Nam</v>
          </cell>
          <cell r="S171" t="str">
            <v>VN</v>
          </cell>
          <cell r="AA171">
            <v>45777</v>
          </cell>
          <cell r="AL171" t="str">
            <v>Thành phố Hà Nội</v>
          </cell>
        </row>
        <row r="172">
          <cell r="C172" t="str">
            <v>8469522847</v>
          </cell>
          <cell r="F172" t="str">
            <v>Đỗ Thu Phương</v>
          </cell>
          <cell r="N172">
            <v>35937</v>
          </cell>
          <cell r="Q172" t="str">
            <v>Nữ</v>
          </cell>
          <cell r="S172" t="str">
            <v>VN</v>
          </cell>
          <cell r="AA172">
            <v>44977</v>
          </cell>
          <cell r="AL172" t="str">
            <v>Thành phố Hà Nội</v>
          </cell>
        </row>
        <row r="173">
          <cell r="C173" t="str">
            <v>8469763553</v>
          </cell>
          <cell r="F173" t="str">
            <v>Lê Thêm Lộc</v>
          </cell>
          <cell r="N173">
            <v>35591</v>
          </cell>
          <cell r="Q173" t="str">
            <v>Nam</v>
          </cell>
          <cell r="S173" t="str">
            <v>VN</v>
          </cell>
          <cell r="AA173">
            <v>46206</v>
          </cell>
          <cell r="AL173" t="str">
            <v>Thành phố Hồ Chí Minh</v>
          </cell>
        </row>
        <row r="174">
          <cell r="C174" t="str">
            <v>8472676364</v>
          </cell>
          <cell r="F174" t="str">
            <v>Huỳnh Kiến Quang</v>
          </cell>
          <cell r="N174">
            <v>34657</v>
          </cell>
          <cell r="Q174" t="str">
            <v>Nam</v>
          </cell>
          <cell r="S174" t="str">
            <v>VN</v>
          </cell>
          <cell r="AA174">
            <v>45787</v>
          </cell>
          <cell r="AL174" t="str">
            <v>Thành phố Hồ Chí Minh</v>
          </cell>
        </row>
        <row r="175">
          <cell r="C175" t="str">
            <v>8472928283</v>
          </cell>
          <cell r="F175" t="str">
            <v>Lưu Văn Lý</v>
          </cell>
          <cell r="N175">
            <v>34234</v>
          </cell>
          <cell r="Q175" t="str">
            <v>Nam</v>
          </cell>
          <cell r="S175" t="str">
            <v>VN</v>
          </cell>
          <cell r="AA175">
            <v>45069</v>
          </cell>
          <cell r="AL175" t="str">
            <v>Thành phố Hà Nội</v>
          </cell>
        </row>
        <row r="176">
          <cell r="C176" t="str">
            <v>8475411207</v>
          </cell>
          <cell r="F176" t="str">
            <v>Phạm Quỳnh Trang</v>
          </cell>
          <cell r="N176">
            <v>34977</v>
          </cell>
          <cell r="Q176" t="str">
            <v>Nữ</v>
          </cell>
          <cell r="S176" t="str">
            <v>VN</v>
          </cell>
          <cell r="AA176">
            <v>45047</v>
          </cell>
          <cell r="AL176" t="str">
            <v>Thành phố Hà Nội</v>
          </cell>
        </row>
        <row r="177">
          <cell r="C177" t="str">
            <v>8486085650</v>
          </cell>
          <cell r="F177" t="str">
            <v>Vũ Thị Ngọc Ánh</v>
          </cell>
          <cell r="N177">
            <v>37525</v>
          </cell>
          <cell r="Q177" t="str">
            <v>Nữ</v>
          </cell>
          <cell r="S177" t="str">
            <v>VN</v>
          </cell>
          <cell r="AA177">
            <v>45894</v>
          </cell>
          <cell r="AL177" t="str">
            <v>Thành phố Hà Nội</v>
          </cell>
        </row>
        <row r="178">
          <cell r="C178" t="str">
            <v>8486930116</v>
          </cell>
          <cell r="F178" t="str">
            <v>Võ Anh Thịnh</v>
          </cell>
          <cell r="N178">
            <v>34507</v>
          </cell>
          <cell r="Q178" t="str">
            <v>Nam</v>
          </cell>
          <cell r="S178" t="str">
            <v>VN</v>
          </cell>
          <cell r="AA178">
            <v>45170</v>
          </cell>
          <cell r="AL178" t="str">
            <v>Thành phố Đà Nẵng</v>
          </cell>
        </row>
        <row r="179">
          <cell r="C179" t="str">
            <v>8489156268</v>
          </cell>
          <cell r="F179" t="str">
            <v>Đỗ Xuân Anh</v>
          </cell>
          <cell r="N179">
            <v>34429</v>
          </cell>
          <cell r="Q179" t="str">
            <v>Nam</v>
          </cell>
          <cell r="S179" t="str">
            <v>VN</v>
          </cell>
          <cell r="AA179">
            <v>45389</v>
          </cell>
          <cell r="AL179" t="str">
            <v>Thành phố Hồ Chí Minh</v>
          </cell>
        </row>
        <row r="180">
          <cell r="C180" t="str">
            <v>8489521739</v>
          </cell>
          <cell r="F180" t="str">
            <v>Nguyễn Hoàng Minh</v>
          </cell>
          <cell r="N180">
            <v>37555</v>
          </cell>
          <cell r="Q180" t="str">
            <v>Nam</v>
          </cell>
          <cell r="S180" t="str">
            <v>VN</v>
          </cell>
          <cell r="AA180">
            <v>46153</v>
          </cell>
          <cell r="AL180" t="str">
            <v>Thành phố Hồ Chí Minh</v>
          </cell>
        </row>
        <row r="181">
          <cell r="C181" t="str">
            <v>8490884670</v>
          </cell>
          <cell r="F181" t="str">
            <v>Nguyễn Trung Hiếu</v>
          </cell>
          <cell r="N181">
            <v>34163</v>
          </cell>
          <cell r="Q181" t="str">
            <v>Nam</v>
          </cell>
          <cell r="S181" t="str">
            <v>VN</v>
          </cell>
          <cell r="AA181">
            <v>45943</v>
          </cell>
          <cell r="AL181" t="str">
            <v>Thành phố Hà Nội</v>
          </cell>
        </row>
        <row r="182">
          <cell r="C182" t="str">
            <v>8494212260</v>
          </cell>
          <cell r="F182" t="str">
            <v>Đinh Quang Tiến</v>
          </cell>
          <cell r="N182">
            <v>36461</v>
          </cell>
          <cell r="Q182" t="str">
            <v>Nam</v>
          </cell>
          <cell r="S182" t="str">
            <v>VN</v>
          </cell>
          <cell r="AA182">
            <v>46055</v>
          </cell>
          <cell r="AL182" t="str">
            <v>Thành phố Hà Nội</v>
          </cell>
        </row>
        <row r="183">
          <cell r="C183" t="str">
            <v>8497434014</v>
          </cell>
          <cell r="F183" t="str">
            <v>Trần Thị Loan</v>
          </cell>
          <cell r="N183">
            <v>34774</v>
          </cell>
          <cell r="Q183" t="str">
            <v>Nữ</v>
          </cell>
          <cell r="S183" t="str">
            <v>VN</v>
          </cell>
          <cell r="AA183">
            <v>45849</v>
          </cell>
          <cell r="AL183" t="str">
            <v>Thành phố Hà Nội</v>
          </cell>
        </row>
        <row r="184">
          <cell r="C184" t="str">
            <v>8498130523</v>
          </cell>
          <cell r="F184" t="str">
            <v>Đào Trung Hiếu</v>
          </cell>
          <cell r="N184">
            <v>33544</v>
          </cell>
          <cell r="Q184" t="str">
            <v>Nam</v>
          </cell>
          <cell r="S184" t="str">
            <v>VN</v>
          </cell>
          <cell r="AA184">
            <v>45351</v>
          </cell>
          <cell r="AL184" t="str">
            <v>Thành phố Hà Nội</v>
          </cell>
        </row>
        <row r="185">
          <cell r="C185" t="str">
            <v>8499154862</v>
          </cell>
          <cell r="F185" t="str">
            <v>Phạm Thị Kim Chi</v>
          </cell>
          <cell r="N185">
            <v>34929</v>
          </cell>
          <cell r="Q185" t="str">
            <v>Nữ</v>
          </cell>
          <cell r="S185" t="str">
            <v>VN</v>
          </cell>
          <cell r="AA185">
            <v>45505</v>
          </cell>
          <cell r="AL185" t="str">
            <v>Thành phố Hồ Chí Minh</v>
          </cell>
        </row>
        <row r="186">
          <cell r="C186" t="str">
            <v>8499703230</v>
          </cell>
          <cell r="F186" t="str">
            <v>Võ Quốc Hưng</v>
          </cell>
          <cell r="N186">
            <v>34260</v>
          </cell>
          <cell r="Q186" t="str">
            <v>Nam</v>
          </cell>
          <cell r="S186" t="str">
            <v>VN</v>
          </cell>
          <cell r="AA186">
            <v>46082</v>
          </cell>
          <cell r="AL186" t="str">
            <v>Thành phố Cần Thơ</v>
          </cell>
        </row>
        <row r="187">
          <cell r="C187" t="str">
            <v>8501844658</v>
          </cell>
          <cell r="F187" t="str">
            <v>Nguyễn Viết Điệp</v>
          </cell>
          <cell r="N187">
            <v>27291</v>
          </cell>
          <cell r="Q187" t="str">
            <v>Nam</v>
          </cell>
          <cell r="S187" t="str">
            <v>VN</v>
          </cell>
          <cell r="AA187">
            <v>45809</v>
          </cell>
          <cell r="AL187" t="str">
            <v>Thành phố Hà Nội</v>
          </cell>
        </row>
        <row r="188">
          <cell r="C188" t="str">
            <v>8503187486</v>
          </cell>
          <cell r="F188" t="str">
            <v>Từ Nhật Minh</v>
          </cell>
          <cell r="N188">
            <v>35200</v>
          </cell>
          <cell r="Q188" t="str">
            <v>Nữ</v>
          </cell>
          <cell r="S188" t="str">
            <v>VN</v>
          </cell>
          <cell r="AA188">
            <v>45261</v>
          </cell>
          <cell r="AL188" t="str">
            <v>Thành phố Hồ Chí Minh</v>
          </cell>
        </row>
        <row r="189">
          <cell r="C189" t="str">
            <v>8505097012</v>
          </cell>
          <cell r="F189" t="str">
            <v>Vũ Linh Thành</v>
          </cell>
          <cell r="N189">
            <v>34369</v>
          </cell>
          <cell r="Q189" t="str">
            <v>Nữ</v>
          </cell>
          <cell r="S189" t="str">
            <v>VN</v>
          </cell>
          <cell r="AA189">
            <v>46120</v>
          </cell>
          <cell r="AL189" t="str">
            <v>Thành phố Hà Nội</v>
          </cell>
        </row>
        <row r="190">
          <cell r="C190" t="str">
            <v>8508193814</v>
          </cell>
          <cell r="F190" t="str">
            <v>Nguyễn Thị Lạc Vy</v>
          </cell>
          <cell r="N190">
            <v>34977</v>
          </cell>
          <cell r="Q190" t="str">
            <v>Nữ</v>
          </cell>
          <cell r="S190" t="str">
            <v>VN</v>
          </cell>
          <cell r="AA190">
            <v>44986</v>
          </cell>
          <cell r="AL190" t="str">
            <v>Thành phố Hồ Chí Minh</v>
          </cell>
        </row>
        <row r="191">
          <cell r="C191" t="str">
            <v>8510129943</v>
          </cell>
          <cell r="F191" t="str">
            <v>Lê Thị Thảo Hằng</v>
          </cell>
          <cell r="N191">
            <v>36555</v>
          </cell>
          <cell r="Q191" t="str">
            <v>Nữ</v>
          </cell>
          <cell r="S191" t="str">
            <v>VN</v>
          </cell>
          <cell r="AA191">
            <v>45772</v>
          </cell>
          <cell r="AL191" t="str">
            <v>Thành phố Hồ Chí Minh</v>
          </cell>
        </row>
        <row r="192">
          <cell r="C192" t="str">
            <v>8510885996</v>
          </cell>
          <cell r="F192" t="str">
            <v>Nguyễn Thanh Lộc</v>
          </cell>
          <cell r="N192">
            <v>34417</v>
          </cell>
          <cell r="Q192" t="str">
            <v>Nam</v>
          </cell>
          <cell r="S192" t="str">
            <v>VN</v>
          </cell>
          <cell r="AA192">
            <v>45296</v>
          </cell>
          <cell r="AL192" t="str">
            <v>Thành phố Hồ Chí Minh</v>
          </cell>
        </row>
        <row r="193">
          <cell r="C193" t="str">
            <v>8512372735</v>
          </cell>
          <cell r="F193" t="str">
            <v>Nguyễn Thị Hoài Trinh</v>
          </cell>
          <cell r="N193">
            <v>34732</v>
          </cell>
          <cell r="Q193" t="str">
            <v>Nữ</v>
          </cell>
          <cell r="S193" t="str">
            <v>VN</v>
          </cell>
          <cell r="AA193">
            <v>45005</v>
          </cell>
          <cell r="AL193" t="str">
            <v>Thành phố Hồ Chí Minh</v>
          </cell>
        </row>
        <row r="194">
          <cell r="C194" t="str">
            <v>8513016698</v>
          </cell>
          <cell r="F194" t="str">
            <v>Phùng Quốc Trung</v>
          </cell>
          <cell r="N194">
            <v>34848</v>
          </cell>
          <cell r="Q194" t="str">
            <v>Nam</v>
          </cell>
          <cell r="S194" t="str">
            <v>VN</v>
          </cell>
          <cell r="AA194">
            <v>45663</v>
          </cell>
          <cell r="AL194" t="str">
            <v>Thành phố Hồ Chí Minh</v>
          </cell>
        </row>
        <row r="195">
          <cell r="C195" t="str">
            <v>8515893239</v>
          </cell>
          <cell r="F195" t="str">
            <v>Nguyễn Ngọc Minh Thư</v>
          </cell>
          <cell r="N195">
            <v>36247</v>
          </cell>
          <cell r="Q195" t="str">
            <v>Nữ</v>
          </cell>
          <cell r="S195" t="str">
            <v/>
          </cell>
          <cell r="AA195">
            <v>44870</v>
          </cell>
          <cell r="AL195" t="str">
            <v>Thành phố Hồ Chí Minh</v>
          </cell>
        </row>
        <row r="196">
          <cell r="C196" t="str">
            <v>8518843518</v>
          </cell>
          <cell r="F196" t="str">
            <v>Nguyễn Hoàng Tiến</v>
          </cell>
          <cell r="N196">
            <v>35130</v>
          </cell>
          <cell r="Q196" t="str">
            <v>Nam</v>
          </cell>
          <cell r="S196" t="str">
            <v>VN</v>
          </cell>
          <cell r="AA196">
            <v>45602</v>
          </cell>
          <cell r="AL196" t="str">
            <v>Thành phố Hồ Chí Minh</v>
          </cell>
        </row>
        <row r="197">
          <cell r="C197" t="str">
            <v>8521650322</v>
          </cell>
          <cell r="F197" t="str">
            <v>Trần Thị Vân Linh</v>
          </cell>
          <cell r="N197">
            <v>34474</v>
          </cell>
          <cell r="Q197" t="str">
            <v>Nữ</v>
          </cell>
          <cell r="S197" t="str">
            <v>VN</v>
          </cell>
          <cell r="AA197">
            <v>45593</v>
          </cell>
          <cell r="AL197" t="str">
            <v>Thành phố Hà Nội</v>
          </cell>
        </row>
        <row r="198">
          <cell r="C198" t="str">
            <v>8522796229</v>
          </cell>
          <cell r="F198" t="str">
            <v>Phạm Bùi Bảo Ân</v>
          </cell>
          <cell r="N198">
            <v>36658</v>
          </cell>
          <cell r="Q198" t="str">
            <v>Nữ</v>
          </cell>
          <cell r="S198" t="str">
            <v>VN</v>
          </cell>
          <cell r="AA198">
            <v>45529</v>
          </cell>
          <cell r="AL198" t="str">
            <v>Thành phố Hà Nội</v>
          </cell>
        </row>
        <row r="199">
          <cell r="C199" t="str">
            <v>8525380116</v>
          </cell>
          <cell r="F199" t="str">
            <v>Phạm Ngọc Băng Châu</v>
          </cell>
          <cell r="N199">
            <v>34962</v>
          </cell>
          <cell r="Q199" t="str">
            <v>Nữ</v>
          </cell>
          <cell r="S199" t="str">
            <v>VN</v>
          </cell>
          <cell r="AA199">
            <v>44852</v>
          </cell>
          <cell r="AL199" t="str">
            <v>Thành phố Hồ Chí Minh</v>
          </cell>
        </row>
        <row r="200">
          <cell r="C200" t="str">
            <v>8525465786</v>
          </cell>
          <cell r="F200" t="str">
            <v>Nguyễn Minh Huy</v>
          </cell>
          <cell r="N200">
            <v>36376</v>
          </cell>
          <cell r="Q200" t="str">
            <v>Nam</v>
          </cell>
          <cell r="S200" t="str">
            <v>VN</v>
          </cell>
          <cell r="AA200">
            <v>45444</v>
          </cell>
          <cell r="AL200" t="str">
            <v>Thành phố Hồ Chí Minh</v>
          </cell>
        </row>
        <row r="201">
          <cell r="C201" t="str">
            <v>8526647771</v>
          </cell>
          <cell r="F201" t="str">
            <v>Nguyễn Hồng Phi</v>
          </cell>
          <cell r="N201">
            <v>35043</v>
          </cell>
          <cell r="Q201" t="str">
            <v>Nam</v>
          </cell>
          <cell r="S201" t="str">
            <v>VN</v>
          </cell>
          <cell r="AA201">
            <v>46078</v>
          </cell>
          <cell r="AL201" t="str">
            <v>Thành phố Hồ Chí Minh</v>
          </cell>
        </row>
        <row r="202">
          <cell r="C202" t="str">
            <v>8526909508</v>
          </cell>
          <cell r="F202" t="str">
            <v>Nguyễn Thị Thu Thúy</v>
          </cell>
          <cell r="N202">
            <v>37219</v>
          </cell>
          <cell r="Q202" t="str">
            <v>Nữ</v>
          </cell>
          <cell r="S202" t="str">
            <v>VN</v>
          </cell>
          <cell r="AA202">
            <v>46198</v>
          </cell>
          <cell r="AL202" t="str">
            <v>Thành phố Hồ Chí Minh</v>
          </cell>
        </row>
        <row r="203">
          <cell r="C203" t="str">
            <v>8528217580</v>
          </cell>
          <cell r="F203" t="str">
            <v>Nguyễn Minh Trường Duy</v>
          </cell>
          <cell r="N203">
            <v>32857</v>
          </cell>
          <cell r="Q203" t="str">
            <v>Nam</v>
          </cell>
          <cell r="S203" t="str">
            <v>VN</v>
          </cell>
          <cell r="AA203">
            <v>45108</v>
          </cell>
          <cell r="AL203" t="str">
            <v>Thành phố Hồ Chí Minh</v>
          </cell>
        </row>
        <row r="204">
          <cell r="C204" t="str">
            <v>8529621080</v>
          </cell>
          <cell r="F204" t="str">
            <v>Bùi Gia Yên</v>
          </cell>
          <cell r="N204">
            <v>36485</v>
          </cell>
          <cell r="Q204" t="str">
            <v>Nam</v>
          </cell>
          <cell r="S204" t="str">
            <v>VN</v>
          </cell>
          <cell r="AA204">
            <v>45566</v>
          </cell>
          <cell r="AL204" t="str">
            <v>Thành phố Hà Nội</v>
          </cell>
        </row>
        <row r="205">
          <cell r="C205" t="str">
            <v>8531942518</v>
          </cell>
          <cell r="F205" t="str">
            <v>Nguyễn Văn Sách</v>
          </cell>
          <cell r="N205">
            <v>35768</v>
          </cell>
          <cell r="Q205" t="str">
            <v>Nam</v>
          </cell>
          <cell r="S205" t="str">
            <v>VN</v>
          </cell>
          <cell r="AA205">
            <v>45542</v>
          </cell>
          <cell r="AL205" t="str">
            <v>Thành phố Hà Nội</v>
          </cell>
        </row>
        <row r="206">
          <cell r="C206" t="str">
            <v>8533790814</v>
          </cell>
          <cell r="F206" t="str">
            <v>Dương Bá Ngoạt</v>
          </cell>
          <cell r="N206">
            <v>33176</v>
          </cell>
          <cell r="Q206" t="str">
            <v>Nam</v>
          </cell>
          <cell r="S206" t="str">
            <v>VN</v>
          </cell>
          <cell r="AA206">
            <v>45108</v>
          </cell>
          <cell r="AL206" t="str">
            <v>Thành phố Hồ Chí Minh</v>
          </cell>
        </row>
        <row r="207">
          <cell r="C207" t="str">
            <v>8535663360</v>
          </cell>
          <cell r="F207" t="str">
            <v>Lê Ngọc Thúy</v>
          </cell>
          <cell r="N207">
            <v>34858</v>
          </cell>
          <cell r="Q207" t="str">
            <v>Nam</v>
          </cell>
          <cell r="S207" t="str">
            <v>VN</v>
          </cell>
          <cell r="AA207">
            <v>45809</v>
          </cell>
          <cell r="AL207" t="str">
            <v>Thành phố Hà Nội</v>
          </cell>
        </row>
        <row r="208">
          <cell r="C208" t="str">
            <v>8538700356</v>
          </cell>
          <cell r="F208" t="str">
            <v>Nguyễn Văn Linh</v>
          </cell>
          <cell r="N208">
            <v>33805</v>
          </cell>
          <cell r="Q208" t="str">
            <v>Nam</v>
          </cell>
          <cell r="S208" t="str">
            <v>VN</v>
          </cell>
          <cell r="AA208">
            <v>45498</v>
          </cell>
          <cell r="AL208" t="str">
            <v>Thành phố Hà Nội</v>
          </cell>
        </row>
        <row r="209">
          <cell r="C209" t="str">
            <v>8539673948</v>
          </cell>
          <cell r="F209" t="str">
            <v>Trần Minh Quàng</v>
          </cell>
          <cell r="N209">
            <v>36678</v>
          </cell>
          <cell r="Q209" t="str">
            <v>Nam</v>
          </cell>
          <cell r="S209" t="str">
            <v>VN</v>
          </cell>
          <cell r="AA209">
            <v>46203</v>
          </cell>
          <cell r="AL209" t="str">
            <v>Thành phố Hồ Chí Minh</v>
          </cell>
        </row>
        <row r="210">
          <cell r="C210" t="str">
            <v>8540359479</v>
          </cell>
          <cell r="F210" t="str">
            <v>Nguyễn Thị Thu An</v>
          </cell>
          <cell r="N210">
            <v>36038</v>
          </cell>
          <cell r="Q210" t="str">
            <v>Nữ</v>
          </cell>
          <cell r="S210" t="str">
            <v>VN</v>
          </cell>
          <cell r="AA210">
            <v>45947</v>
          </cell>
          <cell r="AL210" t="str">
            <v>Thành phố Hồ Chí Minh</v>
          </cell>
        </row>
        <row r="211">
          <cell r="C211" t="str">
            <v>8541348342</v>
          </cell>
          <cell r="F211" t="str">
            <v>Phạm Thị Bích Ngọc</v>
          </cell>
          <cell r="N211">
            <v>35788</v>
          </cell>
          <cell r="Q211" t="str">
            <v>Nữ</v>
          </cell>
          <cell r="S211" t="str">
            <v>VN</v>
          </cell>
          <cell r="AA211">
            <v>45383</v>
          </cell>
          <cell r="AL211" t="str">
            <v>Thành phố Hồ Chí Minh</v>
          </cell>
        </row>
        <row r="212">
          <cell r="C212" t="str">
            <v>8542183894</v>
          </cell>
          <cell r="F212" t="str">
            <v>Lê Tuấn Anh</v>
          </cell>
          <cell r="N212">
            <v>37593</v>
          </cell>
          <cell r="Q212" t="str">
            <v>Nam</v>
          </cell>
          <cell r="S212" t="str">
            <v>VN</v>
          </cell>
          <cell r="AA212">
            <v>45563</v>
          </cell>
          <cell r="AL212" t="str">
            <v>Thành phố Hà Nội</v>
          </cell>
        </row>
        <row r="213">
          <cell r="C213" t="str">
            <v>8542257419</v>
          </cell>
          <cell r="F213" t="str">
            <v>Võ Thành Nghiêm</v>
          </cell>
          <cell r="N213">
            <v>36400</v>
          </cell>
          <cell r="Q213" t="str">
            <v>Nam</v>
          </cell>
          <cell r="S213" t="str">
            <v>VN</v>
          </cell>
          <cell r="AA213">
            <v>46030</v>
          </cell>
          <cell r="AL213" t="str">
            <v>Thành phố Hồ Chí Minh</v>
          </cell>
        </row>
        <row r="214">
          <cell r="C214" t="str">
            <v>8546917024</v>
          </cell>
          <cell r="F214" t="str">
            <v>Đàm Linh Phương</v>
          </cell>
          <cell r="N214">
            <v>35006</v>
          </cell>
          <cell r="Q214" t="str">
            <v>Nữ</v>
          </cell>
          <cell r="S214" t="str">
            <v>VN</v>
          </cell>
          <cell r="AA214">
            <v>45748</v>
          </cell>
          <cell r="AL214" t="str">
            <v>Thành phố Hà Nội</v>
          </cell>
        </row>
        <row r="215">
          <cell r="C215" t="str">
            <v>8548084586</v>
          </cell>
          <cell r="F215" t="str">
            <v>Trần Văn Tỉnh</v>
          </cell>
          <cell r="N215">
            <v>35912</v>
          </cell>
          <cell r="Q215" t="str">
            <v>Nam</v>
          </cell>
          <cell r="S215" t="str">
            <v>VN</v>
          </cell>
          <cell r="AA215">
            <v>45437</v>
          </cell>
          <cell r="AL215" t="str">
            <v>Thành phố Hồ Chí Minh</v>
          </cell>
        </row>
        <row r="216">
          <cell r="C216" t="str">
            <v>8552638854</v>
          </cell>
          <cell r="F216" t="str">
            <v>Nguyễn Công Vinh</v>
          </cell>
          <cell r="N216">
            <v>34338</v>
          </cell>
          <cell r="Q216" t="str">
            <v>Nam</v>
          </cell>
          <cell r="S216" t="str">
            <v>VN</v>
          </cell>
          <cell r="AA216">
            <v>44835</v>
          </cell>
          <cell r="AL216" t="str">
            <v>Thành phố Hồ Chí Minh</v>
          </cell>
        </row>
        <row r="217">
          <cell r="C217" t="str">
            <v>8552851572</v>
          </cell>
          <cell r="F217" t="str">
            <v>Nguyễn Đăng Tấn</v>
          </cell>
          <cell r="N217">
            <v>36664</v>
          </cell>
          <cell r="Q217" t="str">
            <v>Nam</v>
          </cell>
          <cell r="S217" t="str">
            <v>VN</v>
          </cell>
          <cell r="AA217">
            <v>45595</v>
          </cell>
          <cell r="AL217" t="str">
            <v>Thành phố Hồ Chí Minh</v>
          </cell>
        </row>
        <row r="218">
          <cell r="C218" t="str">
            <v>8553056778</v>
          </cell>
          <cell r="F218" t="str">
            <v>Nguyễn Thanh Phong</v>
          </cell>
          <cell r="N218">
            <v>36594</v>
          </cell>
          <cell r="Q218" t="str">
            <v>Nam</v>
          </cell>
          <cell r="S218" t="str">
            <v>VN</v>
          </cell>
          <cell r="AA218">
            <v>45900</v>
          </cell>
          <cell r="AL218" t="str">
            <v>Tỉnh Đồng Nai</v>
          </cell>
        </row>
        <row r="219">
          <cell r="C219" t="str">
            <v>8555314110</v>
          </cell>
          <cell r="F219" t="str">
            <v>Vũ Thị Huyền</v>
          </cell>
          <cell r="N219">
            <v>36616</v>
          </cell>
          <cell r="Q219" t="str">
            <v>Nữ</v>
          </cell>
          <cell r="S219" t="str">
            <v>VN</v>
          </cell>
          <cell r="AA219">
            <v>45386</v>
          </cell>
          <cell r="AL219" t="str">
            <v>Thành phố Hà Nội</v>
          </cell>
        </row>
        <row r="220">
          <cell r="C220" t="str">
            <v>8555664997</v>
          </cell>
          <cell r="F220" t="str">
            <v>Trần Công Danh</v>
          </cell>
          <cell r="N220">
            <v>35727</v>
          </cell>
          <cell r="Q220" t="str">
            <v>Nam</v>
          </cell>
          <cell r="S220" t="str">
            <v>VN</v>
          </cell>
          <cell r="AA220">
            <v>46141</v>
          </cell>
          <cell r="AL220" t="str">
            <v>Thành phố Hồ Chí Minh</v>
          </cell>
        </row>
        <row r="221">
          <cell r="C221" t="str">
            <v>8558348365</v>
          </cell>
          <cell r="F221" t="str">
            <v>Vũ Thị Thanh Thư</v>
          </cell>
          <cell r="N221">
            <v>35183</v>
          </cell>
          <cell r="Q221" t="str">
            <v>Nữ</v>
          </cell>
          <cell r="S221" t="str">
            <v>VN</v>
          </cell>
          <cell r="AA221">
            <v>45755</v>
          </cell>
          <cell r="AL221" t="str">
            <v>Thành phố Hà Nội</v>
          </cell>
        </row>
        <row r="222">
          <cell r="C222" t="str">
            <v>8558998821</v>
          </cell>
          <cell r="F222" t="str">
            <v>Phan Thị Thanh Huyền</v>
          </cell>
          <cell r="N222">
            <v>34801</v>
          </cell>
          <cell r="Q222" t="str">
            <v>Nữ</v>
          </cell>
          <cell r="S222" t="str">
            <v>VN</v>
          </cell>
          <cell r="AA222">
            <v>45083</v>
          </cell>
          <cell r="AL222" t="str">
            <v>Thành phố Hồ Chí Minh</v>
          </cell>
        </row>
        <row r="223">
          <cell r="C223" t="str">
            <v>8559375308</v>
          </cell>
          <cell r="F223" t="str">
            <v>Vũ Ngọc Hải</v>
          </cell>
          <cell r="N223">
            <v>35754</v>
          </cell>
          <cell r="Q223" t="str">
            <v>Nam</v>
          </cell>
          <cell r="S223" t="str">
            <v>VN</v>
          </cell>
          <cell r="AA223">
            <v>46174</v>
          </cell>
          <cell r="AL223" t="str">
            <v>Thành phố Hà Nội</v>
          </cell>
        </row>
        <row r="224">
          <cell r="C224" t="str">
            <v>8560214464</v>
          </cell>
          <cell r="F224" t="str">
            <v>Trịnh Vinh Giang Khánh</v>
          </cell>
          <cell r="N224">
            <v>34491</v>
          </cell>
          <cell r="Q224" t="str">
            <v>Nam</v>
          </cell>
          <cell r="S224" t="str">
            <v>VN</v>
          </cell>
          <cell r="AA224">
            <v>46078</v>
          </cell>
          <cell r="AL224" t="str">
            <v>Thành phố Hà Nội</v>
          </cell>
        </row>
        <row r="225">
          <cell r="C225" t="str">
            <v>8560877944</v>
          </cell>
          <cell r="F225" t="str">
            <v>Trần Anh Thư</v>
          </cell>
          <cell r="N225">
            <v>34368</v>
          </cell>
          <cell r="Q225" t="str">
            <v>Nữ</v>
          </cell>
          <cell r="S225" t="str">
            <v>VN</v>
          </cell>
          <cell r="AA225">
            <v>45962</v>
          </cell>
          <cell r="AL225" t="str">
            <v>Thành phố Hồ Chí Minh</v>
          </cell>
        </row>
        <row r="226">
          <cell r="C226" t="str">
            <v>8561434536</v>
          </cell>
          <cell r="F226" t="str">
            <v>Trần Lê Quý</v>
          </cell>
          <cell r="N226">
            <v>36842</v>
          </cell>
          <cell r="Q226" t="str">
            <v>Nữ</v>
          </cell>
          <cell r="S226" t="str">
            <v>VN</v>
          </cell>
          <cell r="AA226">
            <v>46053</v>
          </cell>
          <cell r="AL226" t="str">
            <v>Thành phố Đà Nẵng</v>
          </cell>
        </row>
        <row r="227">
          <cell r="C227" t="str">
            <v>8568650399</v>
          </cell>
          <cell r="F227" t="str">
            <v>Chu Minh Thu</v>
          </cell>
          <cell r="N227">
            <v>35797</v>
          </cell>
          <cell r="Q227" t="str">
            <v>Nữ</v>
          </cell>
          <cell r="S227" t="str">
            <v>VN</v>
          </cell>
          <cell r="AA227">
            <v>45203</v>
          </cell>
          <cell r="AL227" t="str">
            <v>Thành phố Hà Nội</v>
          </cell>
        </row>
        <row r="228">
          <cell r="C228" t="str">
            <v>8569837294</v>
          </cell>
          <cell r="F228" t="str">
            <v>Vũ Mai Anh</v>
          </cell>
          <cell r="N228">
            <v>36649</v>
          </cell>
          <cell r="Q228" t="str">
            <v>Nữ</v>
          </cell>
          <cell r="S228" t="str">
            <v>VN</v>
          </cell>
          <cell r="AA228">
            <v>45560</v>
          </cell>
          <cell r="AL228" t="str">
            <v>Thành phố Hà Nội</v>
          </cell>
        </row>
        <row r="229">
          <cell r="C229" t="str">
            <v>8571422096</v>
          </cell>
          <cell r="F229" t="str">
            <v>Phạm Hải Dương</v>
          </cell>
          <cell r="N229">
            <v>35827</v>
          </cell>
          <cell r="Q229" t="str">
            <v>Nam</v>
          </cell>
          <cell r="S229" t="str">
            <v>VN</v>
          </cell>
          <cell r="AA229">
            <v>45489</v>
          </cell>
          <cell r="AL229" t="str">
            <v>Thành phố Hà Nội</v>
          </cell>
        </row>
        <row r="230">
          <cell r="C230" t="str">
            <v>8576880558</v>
          </cell>
          <cell r="F230" t="str">
            <v>Trần Thị An</v>
          </cell>
          <cell r="N230">
            <v>35977</v>
          </cell>
          <cell r="Q230" t="str">
            <v>Nữ</v>
          </cell>
          <cell r="S230" t="str">
            <v>VN</v>
          </cell>
          <cell r="AA230">
            <v>45464</v>
          </cell>
          <cell r="AL230" t="str">
            <v>Thành phố Hồ Chí Minh</v>
          </cell>
        </row>
        <row r="231">
          <cell r="C231" t="str">
            <v>8577102800</v>
          </cell>
          <cell r="F231" t="str">
            <v>Phạm Xuân Bắc</v>
          </cell>
          <cell r="N231">
            <v>34546</v>
          </cell>
          <cell r="Q231" t="str">
            <v>Nam</v>
          </cell>
          <cell r="S231" t="str">
            <v>VN</v>
          </cell>
          <cell r="AA231">
            <v>45839</v>
          </cell>
          <cell r="AL231" t="str">
            <v>Thành phố Hà Nội</v>
          </cell>
        </row>
        <row r="232">
          <cell r="C232" t="str">
            <v>8577680248</v>
          </cell>
          <cell r="F232" t="str">
            <v>Nguyễn Trần Quang Anh</v>
          </cell>
          <cell r="N232">
            <v>38211</v>
          </cell>
          <cell r="Q232" t="str">
            <v>Nam</v>
          </cell>
          <cell r="S232" t="str">
            <v>VN</v>
          </cell>
          <cell r="AA232">
            <v>45890</v>
          </cell>
          <cell r="AL232" t="str">
            <v>Thành phố Hà Nội</v>
          </cell>
        </row>
        <row r="233">
          <cell r="C233" t="str">
            <v>8578025820</v>
          </cell>
          <cell r="F233" t="str">
            <v>Đỗ Hữu Cảnh</v>
          </cell>
          <cell r="N233">
            <v>35366</v>
          </cell>
          <cell r="Q233" t="str">
            <v>Nam</v>
          </cell>
          <cell r="S233" t="str">
            <v>VN</v>
          </cell>
          <cell r="AA233">
            <v>44986</v>
          </cell>
          <cell r="AL233" t="str">
            <v>Thành phố Hà Nội</v>
          </cell>
        </row>
        <row r="234">
          <cell r="C234" t="str">
            <v>8578505986</v>
          </cell>
          <cell r="F234" t="str">
            <v>Phùng Thị Thủy</v>
          </cell>
          <cell r="N234">
            <v>32104</v>
          </cell>
          <cell r="Q234" t="str">
            <v>Nữ</v>
          </cell>
          <cell r="S234" t="str">
            <v>VN</v>
          </cell>
          <cell r="AA234">
            <v>44986</v>
          </cell>
          <cell r="AL234" t="str">
            <v>Thành phố Hà Nội</v>
          </cell>
        </row>
        <row r="235">
          <cell r="C235" t="str">
            <v>8578527404</v>
          </cell>
          <cell r="F235" t="str">
            <v>Đặng Thị Anh Tâm</v>
          </cell>
          <cell r="N235">
            <v>35141</v>
          </cell>
          <cell r="Q235" t="str">
            <v>Nữ</v>
          </cell>
          <cell r="S235" t="str">
            <v>VN</v>
          </cell>
          <cell r="AA235">
            <v>45694</v>
          </cell>
          <cell r="AL235" t="str">
            <v>Thành phố Hồ Chí Minh</v>
          </cell>
        </row>
        <row r="236">
          <cell r="C236" t="str">
            <v>8579303975</v>
          </cell>
          <cell r="F236" t="str">
            <v>Lê Minh Hải</v>
          </cell>
          <cell r="N236">
            <v>33879</v>
          </cell>
          <cell r="Q236" t="str">
            <v>Nam</v>
          </cell>
          <cell r="S236" t="str">
            <v>VN</v>
          </cell>
          <cell r="AA236">
            <v>45383</v>
          </cell>
          <cell r="AL236" t="str">
            <v>Thành phố Hà Nội</v>
          </cell>
        </row>
        <row r="237">
          <cell r="C237" t="str">
            <v>8579452670</v>
          </cell>
          <cell r="F237" t="str">
            <v>Nguyễn Thuỳ Dương</v>
          </cell>
          <cell r="N237">
            <v>36667</v>
          </cell>
          <cell r="Q237" t="str">
            <v>Nữ</v>
          </cell>
          <cell r="S237" t="str">
            <v>VN</v>
          </cell>
          <cell r="AA237">
            <v>45765</v>
          </cell>
          <cell r="AL237" t="str">
            <v>Thành phố Hà Nội</v>
          </cell>
        </row>
        <row r="238">
          <cell r="C238" t="str">
            <v>8584127933</v>
          </cell>
          <cell r="F238" t="str">
            <v>Trần Văn Thanh</v>
          </cell>
          <cell r="N238">
            <v>33394</v>
          </cell>
          <cell r="Q238" t="str">
            <v>Nam</v>
          </cell>
          <cell r="S238" t="str">
            <v>VN</v>
          </cell>
          <cell r="AA238">
            <v>44912</v>
          </cell>
          <cell r="AL238" t="str">
            <v>Thành phố Hải Phòng</v>
          </cell>
        </row>
        <row r="239">
          <cell r="C239" t="str">
            <v>8586252954</v>
          </cell>
          <cell r="F239" t="str">
            <v>Hoàng Văn Sơn</v>
          </cell>
          <cell r="N239">
            <v>36775</v>
          </cell>
          <cell r="Q239" t="str">
            <v>Nam</v>
          </cell>
          <cell r="S239" t="str">
            <v>VN</v>
          </cell>
          <cell r="AA239">
            <v>46200</v>
          </cell>
          <cell r="AL239" t="str">
            <v>Thành phố Hà Nội</v>
          </cell>
        </row>
        <row r="240">
          <cell r="C240" t="str">
            <v>8586910882</v>
          </cell>
          <cell r="F240" t="str">
            <v>Nguyễn Thị Hoài Thanh</v>
          </cell>
          <cell r="N240">
            <v>29607</v>
          </cell>
          <cell r="Q240" t="str">
            <v>Nữ</v>
          </cell>
          <cell r="S240" t="str">
            <v>VN</v>
          </cell>
          <cell r="AA240">
            <v>45590</v>
          </cell>
          <cell r="AL240" t="str">
            <v>Thành phố Hà Nội</v>
          </cell>
        </row>
        <row r="241">
          <cell r="C241" t="str">
            <v>8590412086</v>
          </cell>
          <cell r="F241" t="str">
            <v>Đồng Thị Hoàng Giang</v>
          </cell>
          <cell r="N241">
            <v>33994</v>
          </cell>
          <cell r="Q241" t="str">
            <v>Nữ</v>
          </cell>
          <cell r="S241" t="str">
            <v>VN</v>
          </cell>
          <cell r="AA241">
            <v>45563</v>
          </cell>
          <cell r="AL241" t="str">
            <v>Thành phố Hồ Chí Minh</v>
          </cell>
        </row>
        <row r="242">
          <cell r="C242" t="str">
            <v>8590596531</v>
          </cell>
          <cell r="F242" t="str">
            <v>Nguyễn Văn Huân</v>
          </cell>
          <cell r="N242">
            <v>32556</v>
          </cell>
          <cell r="Q242" t="str">
            <v>Nam</v>
          </cell>
          <cell r="S242" t="str">
            <v>VN</v>
          </cell>
          <cell r="AA242">
            <v>46214</v>
          </cell>
          <cell r="AL242" t="str">
            <v>Thành phố Hải Phòng</v>
          </cell>
        </row>
        <row r="243">
          <cell r="C243" t="str">
            <v>8596016096</v>
          </cell>
          <cell r="F243" t="str">
            <v>Vũ Văn Nam</v>
          </cell>
          <cell r="N243">
            <v>35361</v>
          </cell>
          <cell r="Q243" t="str">
            <v>Nam</v>
          </cell>
          <cell r="S243" t="str">
            <v>VN</v>
          </cell>
          <cell r="AA243">
            <v>46081</v>
          </cell>
          <cell r="AL243" t="str">
            <v>Thành phố Hà Nội</v>
          </cell>
        </row>
        <row r="244">
          <cell r="C244" t="str">
            <v>8604649962</v>
          </cell>
          <cell r="F244" t="str">
            <v>Nguyễn Ngọc Minh Hiếu</v>
          </cell>
          <cell r="N244">
            <v>36424</v>
          </cell>
          <cell r="Q244" t="str">
            <v>Nữ</v>
          </cell>
          <cell r="S244" t="str">
            <v>VN</v>
          </cell>
          <cell r="AA244">
            <v>45621</v>
          </cell>
          <cell r="AL244" t="str">
            <v>Thành phố Hồ Chí Minh</v>
          </cell>
        </row>
        <row r="245">
          <cell r="C245" t="str">
            <v>8611544826</v>
          </cell>
          <cell r="F245" t="str">
            <v>Phạm Minh Khánh</v>
          </cell>
          <cell r="N245">
            <v>32366</v>
          </cell>
          <cell r="Q245" t="str">
            <v>Nam</v>
          </cell>
          <cell r="S245" t="str">
            <v>VN</v>
          </cell>
          <cell r="AA245">
            <v>45169</v>
          </cell>
          <cell r="AL245" t="str">
            <v>Thành phố Hồ Chí Minh</v>
          </cell>
        </row>
        <row r="246">
          <cell r="C246" t="str">
            <v>8612910747</v>
          </cell>
          <cell r="F246" t="str">
            <v>Vũ Thị Hồng Anh</v>
          </cell>
          <cell r="N246">
            <v>36942</v>
          </cell>
          <cell r="Q246" t="str">
            <v>Nữ</v>
          </cell>
          <cell r="S246" t="str">
            <v>VN</v>
          </cell>
          <cell r="AA246">
            <v>45986</v>
          </cell>
          <cell r="AL246" t="str">
            <v>Thành phố Hà Nội</v>
          </cell>
        </row>
        <row r="247">
          <cell r="C247" t="str">
            <v>8613520002</v>
          </cell>
          <cell r="F247" t="str">
            <v>Nguyễn Ngọc Quyết</v>
          </cell>
          <cell r="N247">
            <v>33508</v>
          </cell>
          <cell r="Q247" t="str">
            <v>Nam</v>
          </cell>
          <cell r="S247" t="str">
            <v>VN</v>
          </cell>
          <cell r="AA247">
            <v>45809</v>
          </cell>
          <cell r="AL247" t="str">
            <v>Thành phố Hà Nội</v>
          </cell>
        </row>
        <row r="248">
          <cell r="C248" t="str">
            <v>8614609609</v>
          </cell>
          <cell r="F248" t="str">
            <v>Nguyễn Thuỳ Linh</v>
          </cell>
          <cell r="N248">
            <v>34584</v>
          </cell>
          <cell r="Q248" t="str">
            <v>Nữ</v>
          </cell>
          <cell r="S248" t="str">
            <v>VN</v>
          </cell>
          <cell r="AA248">
            <v>45682</v>
          </cell>
          <cell r="AL248" t="str">
            <v>Thành phố Hà Nội</v>
          </cell>
        </row>
        <row r="249">
          <cell r="C249" t="str">
            <v>8616260627</v>
          </cell>
          <cell r="F249" t="str">
            <v>Trần Huỳnh Kỳ</v>
          </cell>
          <cell r="N249">
            <v>35663</v>
          </cell>
          <cell r="Q249" t="str">
            <v>Nam</v>
          </cell>
          <cell r="S249" t="str">
            <v>VN</v>
          </cell>
          <cell r="AA249">
            <v>45780</v>
          </cell>
          <cell r="AL249" t="str">
            <v>Thành phố Hồ Chí Minh</v>
          </cell>
        </row>
        <row r="250">
          <cell r="C250" t="str">
            <v>8620158136</v>
          </cell>
          <cell r="F250" t="str">
            <v>Nguyễn Thị Thương</v>
          </cell>
          <cell r="N250">
            <v>35666</v>
          </cell>
          <cell r="Q250" t="str">
            <v>Nữ</v>
          </cell>
          <cell r="S250" t="str">
            <v>VN</v>
          </cell>
          <cell r="AA250">
            <v>46148</v>
          </cell>
          <cell r="AL250" t="str">
            <v>Thành phố Hà Nội</v>
          </cell>
        </row>
        <row r="251">
          <cell r="C251" t="str">
            <v>8622808950</v>
          </cell>
          <cell r="F251" t="str">
            <v>Phùng Văn Thiện</v>
          </cell>
          <cell r="N251">
            <v>35262</v>
          </cell>
          <cell r="Q251" t="str">
            <v>Nam</v>
          </cell>
          <cell r="S251" t="str">
            <v>VN</v>
          </cell>
          <cell r="AA251">
            <v>44922</v>
          </cell>
          <cell r="AL251" t="str">
            <v>Thành phố Hà Nội</v>
          </cell>
        </row>
        <row r="252">
          <cell r="C252" t="str">
            <v>8625222995</v>
          </cell>
          <cell r="F252" t="str">
            <v>Nguyễn Vũ Quốc Thiện</v>
          </cell>
          <cell r="N252">
            <v>34464</v>
          </cell>
          <cell r="Q252" t="str">
            <v>Nam</v>
          </cell>
          <cell r="S252" t="str">
            <v>VN</v>
          </cell>
          <cell r="AA252">
            <v>45931</v>
          </cell>
          <cell r="AL252" t="str">
            <v>Thành phố Hồ Chí Minh</v>
          </cell>
        </row>
        <row r="253">
          <cell r="C253" t="str">
            <v>8628504162</v>
          </cell>
          <cell r="F253" t="str">
            <v>Nguyễn Trí Tâm</v>
          </cell>
          <cell r="N253">
            <v>32388</v>
          </cell>
          <cell r="Q253" t="str">
            <v>Nam</v>
          </cell>
          <cell r="S253" t="str">
            <v>VN</v>
          </cell>
          <cell r="AA253">
            <v>45474</v>
          </cell>
          <cell r="AL253" t="str">
            <v>Thành phố Hồ Chí Minh</v>
          </cell>
        </row>
        <row r="254">
          <cell r="C254" t="str">
            <v>8628588187</v>
          </cell>
          <cell r="F254" t="str">
            <v>Nguyễn Quang Thành</v>
          </cell>
          <cell r="N254">
            <v>35404</v>
          </cell>
          <cell r="Q254" t="str">
            <v>Nam</v>
          </cell>
          <cell r="S254" t="str">
            <v>VN</v>
          </cell>
          <cell r="AA254">
            <v>44989</v>
          </cell>
          <cell r="AL254" t="str">
            <v>Thành phố Hà Nội</v>
          </cell>
        </row>
        <row r="255">
          <cell r="C255" t="str">
            <v>8628760159</v>
          </cell>
          <cell r="F255" t="str">
            <v>Luyện Thị Phượng</v>
          </cell>
          <cell r="N255">
            <v>35666</v>
          </cell>
          <cell r="Q255" t="str">
            <v>Nữ</v>
          </cell>
          <cell r="S255" t="str">
            <v>VN</v>
          </cell>
          <cell r="AA255">
            <v>44845</v>
          </cell>
          <cell r="AL255" t="str">
            <v>Thành phố Hà Nội</v>
          </cell>
        </row>
        <row r="256">
          <cell r="C256" t="str">
            <v>8628968118</v>
          </cell>
          <cell r="F256" t="str">
            <v>Hà Quốc Việt</v>
          </cell>
          <cell r="N256">
            <v>35418</v>
          </cell>
          <cell r="Q256" t="str">
            <v>Nam</v>
          </cell>
          <cell r="S256" t="str">
            <v>VN</v>
          </cell>
          <cell r="AA256">
            <v>45912</v>
          </cell>
          <cell r="AL256" t="str">
            <v>Thành phố Hồ Chí Minh</v>
          </cell>
        </row>
        <row r="257">
          <cell r="C257" t="str">
            <v>8630175564</v>
          </cell>
          <cell r="F257" t="str">
            <v>Nguyễn Thị Oanh</v>
          </cell>
          <cell r="N257">
            <v>37230</v>
          </cell>
          <cell r="Q257" t="str">
            <v>Nữ</v>
          </cell>
          <cell r="S257" t="str">
            <v>VN</v>
          </cell>
          <cell r="AA257">
            <v>45387</v>
          </cell>
          <cell r="AL257" t="str">
            <v>Thành phố Hà Nội</v>
          </cell>
        </row>
        <row r="258">
          <cell r="C258" t="str">
            <v>8630237108</v>
          </cell>
          <cell r="F258" t="str">
            <v>Hoàng Minh Ngọc</v>
          </cell>
          <cell r="N258">
            <v>35950</v>
          </cell>
          <cell r="Q258" t="str">
            <v>Nữ</v>
          </cell>
          <cell r="S258" t="str">
            <v>VN</v>
          </cell>
          <cell r="AA258">
            <v>45013</v>
          </cell>
          <cell r="AL258" t="str">
            <v>Thành phố Hà Nội</v>
          </cell>
        </row>
        <row r="259">
          <cell r="C259" t="str">
            <v>8630303470</v>
          </cell>
          <cell r="F259" t="str">
            <v>Châu Mỹ Nga</v>
          </cell>
          <cell r="N259">
            <v>35551</v>
          </cell>
          <cell r="Q259" t="str">
            <v>Nữ</v>
          </cell>
          <cell r="S259" t="str">
            <v>VN</v>
          </cell>
          <cell r="AA259">
            <v>45849</v>
          </cell>
          <cell r="AL259" t="str">
            <v>Thành phố Hồ Chí Minh</v>
          </cell>
        </row>
        <row r="260">
          <cell r="C260" t="str">
            <v>8630880365</v>
          </cell>
          <cell r="F260" t="str">
            <v>Nguyễn Thế Hải</v>
          </cell>
          <cell r="N260">
            <v>34996</v>
          </cell>
          <cell r="Q260" t="str">
            <v>Nam</v>
          </cell>
          <cell r="S260" t="str">
            <v>VN</v>
          </cell>
          <cell r="AA260">
            <v>46053</v>
          </cell>
          <cell r="AL260" t="str">
            <v>Thành phố Hồ Chí Minh</v>
          </cell>
        </row>
        <row r="261">
          <cell r="C261" t="str">
            <v>8632395117</v>
          </cell>
          <cell r="F261" t="str">
            <v>Đỗ Thị Huyền</v>
          </cell>
          <cell r="N261">
            <v>34874</v>
          </cell>
          <cell r="Q261" t="str">
            <v>Nữ</v>
          </cell>
          <cell r="S261" t="str">
            <v>VN</v>
          </cell>
          <cell r="AA261">
            <v>45962</v>
          </cell>
          <cell r="AL261" t="str">
            <v>Thành phố Hà Nội</v>
          </cell>
        </row>
        <row r="262">
          <cell r="C262" t="str">
            <v>8635846174</v>
          </cell>
          <cell r="F262" t="str">
            <v>Phạm Gia Long</v>
          </cell>
          <cell r="N262">
            <v>35243</v>
          </cell>
          <cell r="Q262" t="str">
            <v>Nam</v>
          </cell>
          <cell r="S262" t="str">
            <v>VN</v>
          </cell>
          <cell r="AA262">
            <v>46138</v>
          </cell>
          <cell r="AL262" t="str">
            <v>Thành phố Hà Nội</v>
          </cell>
        </row>
        <row r="263">
          <cell r="C263" t="str">
            <v>8638922521</v>
          </cell>
          <cell r="F263" t="str">
            <v>Nguyễn Thị Ngân Giang</v>
          </cell>
          <cell r="N263">
            <v>36044</v>
          </cell>
          <cell r="Q263" t="str">
            <v>Nữ</v>
          </cell>
          <cell r="S263" t="str">
            <v>VN</v>
          </cell>
          <cell r="AA263">
            <v>45390</v>
          </cell>
          <cell r="AL263" t="str">
            <v>Thành phố Hà Nội</v>
          </cell>
        </row>
        <row r="264">
          <cell r="C264" t="str">
            <v>8642868972</v>
          </cell>
          <cell r="F264" t="str">
            <v>Trịnh Thái Vy</v>
          </cell>
          <cell r="N264">
            <v>35646</v>
          </cell>
          <cell r="Q264" t="str">
            <v>Nữ</v>
          </cell>
          <cell r="S264" t="str">
            <v>VN</v>
          </cell>
          <cell r="AA264">
            <v>45378</v>
          </cell>
          <cell r="AL264" t="str">
            <v>Thành phố Hà Nội</v>
          </cell>
        </row>
        <row r="265">
          <cell r="C265" t="str">
            <v>8643811785</v>
          </cell>
          <cell r="F265" t="str">
            <v>Lê Ngọc Minh</v>
          </cell>
          <cell r="N265">
            <v>37110</v>
          </cell>
          <cell r="Q265" t="str">
            <v>Nữ</v>
          </cell>
          <cell r="S265" t="str">
            <v>VN</v>
          </cell>
          <cell r="AA265">
            <v>45674</v>
          </cell>
          <cell r="AL265" t="str">
            <v>Thành phố Hà Nội</v>
          </cell>
        </row>
        <row r="266">
          <cell r="C266" t="str">
            <v>8647204333</v>
          </cell>
          <cell r="F266" t="str">
            <v>Nguyễn Minh Trí</v>
          </cell>
          <cell r="N266">
            <v>35619</v>
          </cell>
          <cell r="Q266" t="str">
            <v>Nam</v>
          </cell>
          <cell r="S266" t="str">
            <v>VN</v>
          </cell>
          <cell r="AA266">
            <v>45108</v>
          </cell>
          <cell r="AL266" t="str">
            <v>Thành phố Hồ Chí Minh</v>
          </cell>
        </row>
        <row r="267">
          <cell r="C267" t="str">
            <v>8650423399</v>
          </cell>
          <cell r="F267" t="str">
            <v>Vũ Thị Nguyệt Anh</v>
          </cell>
          <cell r="N267">
            <v>34724</v>
          </cell>
          <cell r="Q267" t="str">
            <v>Nữ</v>
          </cell>
          <cell r="S267" t="str">
            <v>VN</v>
          </cell>
          <cell r="AA267">
            <v>45722</v>
          </cell>
          <cell r="AL267" t="str">
            <v>Thành phố Hà Nội</v>
          </cell>
        </row>
        <row r="268">
          <cell r="C268" t="str">
            <v>8655202273</v>
          </cell>
          <cell r="F268" t="str">
            <v>Nguyễn Thị Thúy</v>
          </cell>
          <cell r="N268">
            <v>35754</v>
          </cell>
          <cell r="Q268" t="str">
            <v>Nữ</v>
          </cell>
          <cell r="S268" t="str">
            <v>VN</v>
          </cell>
          <cell r="AA268">
            <v>45833</v>
          </cell>
          <cell r="AL268" t="str">
            <v>Thành phố Hà Nội</v>
          </cell>
        </row>
        <row r="269">
          <cell r="C269" t="str">
            <v>8660382624</v>
          </cell>
          <cell r="F269" t="str">
            <v>Nguyễn Thu Hằng</v>
          </cell>
          <cell r="N269">
            <v>36391</v>
          </cell>
          <cell r="Q269" t="str">
            <v>Nữ</v>
          </cell>
          <cell r="S269" t="str">
            <v>VN</v>
          </cell>
          <cell r="AA269">
            <v>44986</v>
          </cell>
          <cell r="AL269" t="str">
            <v>Thành phố Hà Nội</v>
          </cell>
        </row>
        <row r="270">
          <cell r="C270" t="str">
            <v>8664728418</v>
          </cell>
          <cell r="F270" t="str">
            <v>Bùi Thị Cẩm Thơ</v>
          </cell>
          <cell r="N270">
            <v>35534</v>
          </cell>
          <cell r="Q270" t="str">
            <v>Nữ</v>
          </cell>
          <cell r="S270" t="str">
            <v>VN</v>
          </cell>
          <cell r="AA270">
            <v>45078</v>
          </cell>
          <cell r="AL270" t="str">
            <v>Thành phố Hà Nội</v>
          </cell>
        </row>
        <row r="271">
          <cell r="C271" t="str">
            <v>8667598189</v>
          </cell>
          <cell r="F271" t="str">
            <v>Trịnh Thị Tú Linh</v>
          </cell>
          <cell r="N271">
            <v>35418</v>
          </cell>
          <cell r="Q271" t="str">
            <v>Nữ</v>
          </cell>
          <cell r="S271" t="str">
            <v>VN</v>
          </cell>
          <cell r="AA271">
            <v>45468</v>
          </cell>
          <cell r="AL271" t="str">
            <v>Thành phố Hà Nội</v>
          </cell>
        </row>
        <row r="272">
          <cell r="C272" t="str">
            <v>8667760071</v>
          </cell>
          <cell r="F272" t="str">
            <v>Nghiêm Thị Bích Ngọc</v>
          </cell>
          <cell r="N272">
            <v>35527</v>
          </cell>
          <cell r="Q272" t="str">
            <v>Nữ</v>
          </cell>
          <cell r="S272" t="str">
            <v>VN</v>
          </cell>
          <cell r="AA272">
            <v>46155</v>
          </cell>
          <cell r="AL272" t="str">
            <v>Thành phố Hà Nội</v>
          </cell>
        </row>
        <row r="273">
          <cell r="C273" t="str">
            <v>8670834728</v>
          </cell>
          <cell r="F273" t="str">
            <v>Lê Văn Tùng</v>
          </cell>
          <cell r="N273">
            <v>35719</v>
          </cell>
          <cell r="Q273" t="str">
            <v>Nam</v>
          </cell>
          <cell r="S273" t="str">
            <v>VN</v>
          </cell>
          <cell r="AA273">
            <v>44847</v>
          </cell>
          <cell r="AL273" t="str">
            <v>Thành phố Hà Nội</v>
          </cell>
        </row>
        <row r="274">
          <cell r="C274" t="str">
            <v>8673021738</v>
          </cell>
          <cell r="F274" t="str">
            <v>Trần Quang Bách</v>
          </cell>
          <cell r="N274">
            <v>36149</v>
          </cell>
          <cell r="Q274" t="str">
            <v>Nam</v>
          </cell>
          <cell r="S274" t="str">
            <v>VN</v>
          </cell>
          <cell r="AA274">
            <v>45810</v>
          </cell>
          <cell r="AL274" t="str">
            <v>Thành phố Hà Nội</v>
          </cell>
        </row>
        <row r="275">
          <cell r="C275" t="str">
            <v>8675732656</v>
          </cell>
          <cell r="F275" t="str">
            <v>Hoàng Ngọc Khương</v>
          </cell>
          <cell r="N275">
            <v>26046</v>
          </cell>
          <cell r="Q275" t="str">
            <v>Nam</v>
          </cell>
          <cell r="S275" t="str">
            <v>VN</v>
          </cell>
          <cell r="AA275">
            <v>46023</v>
          </cell>
          <cell r="AL275" t="str">
            <v>Thành phố Hà Nội</v>
          </cell>
        </row>
        <row r="276">
          <cell r="C276" t="str">
            <v>8676842228</v>
          </cell>
          <cell r="F276" t="str">
            <v>Nguyễn Đức Hiếu</v>
          </cell>
          <cell r="N276">
            <v>35431</v>
          </cell>
          <cell r="Q276" t="str">
            <v>Nam</v>
          </cell>
          <cell r="S276" t="str">
            <v>VN</v>
          </cell>
          <cell r="AA276">
            <v>45413</v>
          </cell>
          <cell r="AL276" t="str">
            <v>Thành phố Hồ Chí Minh</v>
          </cell>
        </row>
        <row r="277">
          <cell r="C277" t="str">
            <v>8678063065</v>
          </cell>
          <cell r="F277" t="str">
            <v>Nguyễn Đình Huấn</v>
          </cell>
          <cell r="N277">
            <v>34624</v>
          </cell>
          <cell r="Q277" t="str">
            <v>Nam</v>
          </cell>
          <cell r="S277" t="str">
            <v>VN</v>
          </cell>
          <cell r="AA277">
            <v>45682</v>
          </cell>
          <cell r="AL277" t="str">
            <v>Thành phố Hải Phòng</v>
          </cell>
        </row>
        <row r="278">
          <cell r="C278" t="str">
            <v>8679763969</v>
          </cell>
          <cell r="F278" t="str">
            <v>Đàm Trọng Hải Dương</v>
          </cell>
          <cell r="N278">
            <v>37408</v>
          </cell>
          <cell r="Q278" t="str">
            <v>Nam</v>
          </cell>
          <cell r="S278" t="str">
            <v>VN</v>
          </cell>
          <cell r="AA278">
            <v>45962</v>
          </cell>
          <cell r="AL278" t="str">
            <v>Thành phố Hồ Chí Minh</v>
          </cell>
        </row>
        <row r="279">
          <cell r="C279" t="str">
            <v>8682075345</v>
          </cell>
          <cell r="F279" t="str">
            <v>Nguyễn Thị Yến</v>
          </cell>
          <cell r="N279">
            <v>35517</v>
          </cell>
          <cell r="Q279" t="str">
            <v>Nữ</v>
          </cell>
          <cell r="S279" t="str">
            <v>VN</v>
          </cell>
          <cell r="AA279">
            <v>45359</v>
          </cell>
          <cell r="AL279" t="str">
            <v>Thành phố Hà Nội</v>
          </cell>
        </row>
        <row r="280">
          <cell r="C280" t="str">
            <v>8683186873</v>
          </cell>
          <cell r="F280" t="str">
            <v>Nguyễn Thị Duyên</v>
          </cell>
          <cell r="N280">
            <v>37443</v>
          </cell>
          <cell r="Q280" t="str">
            <v>Nữ</v>
          </cell>
          <cell r="S280" t="str">
            <v>VN</v>
          </cell>
          <cell r="AA280">
            <v>45889</v>
          </cell>
          <cell r="AL280" t="str">
            <v>Thành phố Hà Nội</v>
          </cell>
        </row>
        <row r="281">
          <cell r="C281" t="str">
            <v>8685246479</v>
          </cell>
          <cell r="F281" t="str">
            <v>Phạm Thị Thanh Xuân</v>
          </cell>
          <cell r="N281">
            <v>36472</v>
          </cell>
          <cell r="Q281" t="str">
            <v>Nữ</v>
          </cell>
          <cell r="S281" t="str">
            <v>VN</v>
          </cell>
          <cell r="AA281">
            <v>45899</v>
          </cell>
          <cell r="AL281" t="str">
            <v>Thành phố Hà Nội</v>
          </cell>
        </row>
        <row r="282">
          <cell r="C282" t="str">
            <v>8685694368</v>
          </cell>
          <cell r="F282" t="str">
            <v>Nguyễn Văn Quốc Trí</v>
          </cell>
          <cell r="N282">
            <v>35607</v>
          </cell>
          <cell r="Q282" t="str">
            <v>Nam</v>
          </cell>
          <cell r="S282" t="str">
            <v>VN</v>
          </cell>
          <cell r="AA282">
            <v>45131</v>
          </cell>
          <cell r="AL282" t="str">
            <v>Thành phố Hồ Chí Minh</v>
          </cell>
        </row>
        <row r="283">
          <cell r="C283" t="str">
            <v>8689869428</v>
          </cell>
          <cell r="F283" t="str">
            <v>Đào Thanh Huyền</v>
          </cell>
          <cell r="N283">
            <v>36728</v>
          </cell>
          <cell r="Q283" t="str">
            <v>Nữ</v>
          </cell>
          <cell r="S283" t="str">
            <v>VN</v>
          </cell>
          <cell r="AA283">
            <v>45383</v>
          </cell>
          <cell r="AL283" t="str">
            <v>Thành phố Hà Nội</v>
          </cell>
        </row>
        <row r="284">
          <cell r="C284" t="str">
            <v>8692043085</v>
          </cell>
          <cell r="F284" t="str">
            <v>Vũ Hồng Nhung</v>
          </cell>
          <cell r="N284">
            <v>37066</v>
          </cell>
          <cell r="Q284" t="str">
            <v>Nữ</v>
          </cell>
          <cell r="S284" t="str">
            <v>VN</v>
          </cell>
          <cell r="AA284">
            <v>45446</v>
          </cell>
          <cell r="AL284" t="str">
            <v>Thành phố Hà Nội</v>
          </cell>
        </row>
        <row r="285">
          <cell r="C285" t="str">
            <v>8692729614</v>
          </cell>
          <cell r="F285" t="str">
            <v>Nguyễn Duy Hải</v>
          </cell>
          <cell r="N285">
            <v>35462</v>
          </cell>
          <cell r="Q285" t="str">
            <v>Nam</v>
          </cell>
          <cell r="S285" t="str">
            <v>VN</v>
          </cell>
          <cell r="AA285">
            <v>45803</v>
          </cell>
          <cell r="AL285" t="str">
            <v>Thành phố Hà Nội</v>
          </cell>
        </row>
        <row r="286">
          <cell r="C286" t="str">
            <v>8697249611</v>
          </cell>
          <cell r="F286" t="str">
            <v>Dương Thị Vân</v>
          </cell>
          <cell r="N286">
            <v>35696</v>
          </cell>
          <cell r="Q286" t="str">
            <v>Nữ</v>
          </cell>
          <cell r="S286" t="str">
            <v>VN</v>
          </cell>
          <cell r="AA286">
            <v>45777</v>
          </cell>
          <cell r="AL286" t="str">
            <v>Thành phố Hà Nội</v>
          </cell>
        </row>
        <row r="287">
          <cell r="C287" t="str">
            <v>8697396912</v>
          </cell>
          <cell r="F287" t="str">
            <v>Nguyễn Đăng Thu Uyên</v>
          </cell>
          <cell r="N287">
            <v>36855</v>
          </cell>
          <cell r="Q287" t="str">
            <v>Nữ</v>
          </cell>
          <cell r="S287" t="str">
            <v>VN</v>
          </cell>
          <cell r="AA287">
            <v>45772</v>
          </cell>
          <cell r="AL287" t="str">
            <v>Thành phố Đà Nẵng</v>
          </cell>
        </row>
        <row r="288">
          <cell r="C288" t="str">
            <v>8697636321</v>
          </cell>
          <cell r="F288" t="str">
            <v>Ngô Đình Gia Tuấn</v>
          </cell>
          <cell r="N288">
            <v>35272</v>
          </cell>
          <cell r="Q288" t="str">
            <v>Nam</v>
          </cell>
          <cell r="S288" t="str">
            <v>VN</v>
          </cell>
          <cell r="AA288">
            <v>45413</v>
          </cell>
          <cell r="AL288" t="str">
            <v>Thành phố Hồ Chí Minh</v>
          </cell>
        </row>
        <row r="289">
          <cell r="C289" t="str">
            <v>8700055841</v>
          </cell>
          <cell r="F289" t="str">
            <v>Bùi Thị Hoài</v>
          </cell>
          <cell r="N289">
            <v>34816</v>
          </cell>
          <cell r="Q289" t="str">
            <v>Nữ</v>
          </cell>
          <cell r="S289" t="str">
            <v>VN</v>
          </cell>
          <cell r="AA289">
            <v>45498</v>
          </cell>
          <cell r="AL289" t="str">
            <v>Thành phố Hà Nội</v>
          </cell>
        </row>
        <row r="290">
          <cell r="C290" t="str">
            <v>8704640586</v>
          </cell>
          <cell r="F290" t="str">
            <v>Huỳnh Trọng Nghĩa</v>
          </cell>
          <cell r="N290">
            <v>36687</v>
          </cell>
          <cell r="Q290" t="str">
            <v>Nam</v>
          </cell>
          <cell r="S290" t="str">
            <v>VN</v>
          </cell>
          <cell r="AA290">
            <v>45636</v>
          </cell>
          <cell r="AL290" t="str">
            <v>Thành phố Hồ Chí Minh</v>
          </cell>
        </row>
        <row r="291">
          <cell r="C291" t="str">
            <v>8711279882</v>
          </cell>
          <cell r="F291" t="str">
            <v>Lê Thị Hoài Hương</v>
          </cell>
          <cell r="N291">
            <v>36017</v>
          </cell>
          <cell r="Q291" t="str">
            <v>Nữ</v>
          </cell>
          <cell r="S291" t="str">
            <v>VN</v>
          </cell>
          <cell r="AA291">
            <v>44835</v>
          </cell>
        </row>
        <row r="292">
          <cell r="C292" t="str">
            <v>8711314505</v>
          </cell>
          <cell r="F292" t="str">
            <v>Phạm Tuấn Anh</v>
          </cell>
          <cell r="N292">
            <v>35834</v>
          </cell>
          <cell r="Q292" t="str">
            <v>Nam</v>
          </cell>
          <cell r="S292" t="str">
            <v>VN</v>
          </cell>
          <cell r="AA292">
            <v>46032</v>
          </cell>
          <cell r="AL292" t="str">
            <v>Thành phố Hà Nội</v>
          </cell>
        </row>
        <row r="293">
          <cell r="C293" t="str">
            <v>8713512277</v>
          </cell>
          <cell r="F293" t="str">
            <v>Nguyễn Thu Hiền</v>
          </cell>
          <cell r="N293">
            <v>35886</v>
          </cell>
          <cell r="Q293" t="str">
            <v>Nữ</v>
          </cell>
          <cell r="S293" t="str">
            <v>VN</v>
          </cell>
          <cell r="AA293">
            <v>45651</v>
          </cell>
          <cell r="AL293" t="str">
            <v>Thành phố Hà Nội</v>
          </cell>
        </row>
        <row r="294">
          <cell r="C294" t="str">
            <v>8715147767</v>
          </cell>
          <cell r="F294" t="str">
            <v>Đinh Diệp Quỳnh</v>
          </cell>
          <cell r="N294">
            <v>35037</v>
          </cell>
          <cell r="Q294" t="str">
            <v>Nữ</v>
          </cell>
          <cell r="S294" t="str">
            <v>VN</v>
          </cell>
          <cell r="AA294">
            <v>45808</v>
          </cell>
          <cell r="AL294" t="str">
            <v>Thành phố Hồ Chí Minh</v>
          </cell>
        </row>
        <row r="295">
          <cell r="C295" t="str">
            <v>8715434803</v>
          </cell>
          <cell r="F295" t="str">
            <v>Nguyễn Thị Thu Trang</v>
          </cell>
          <cell r="N295">
            <v>35445</v>
          </cell>
          <cell r="Q295" t="str">
            <v>Nữ</v>
          </cell>
          <cell r="S295" t="str">
            <v>VN</v>
          </cell>
          <cell r="AA295">
            <v>45930</v>
          </cell>
          <cell r="AL295" t="str">
            <v>Thành phố Hồ Chí Minh</v>
          </cell>
        </row>
        <row r="296">
          <cell r="C296" t="str">
            <v>8715937405</v>
          </cell>
          <cell r="F296" t="str">
            <v>Lê Linh Hương</v>
          </cell>
          <cell r="N296">
            <v>36645</v>
          </cell>
          <cell r="Q296" t="str">
            <v>Nữ</v>
          </cell>
          <cell r="S296" t="str">
            <v>VN</v>
          </cell>
          <cell r="AA296">
            <v>45498</v>
          </cell>
          <cell r="AL296" t="str">
            <v>Thành phố Hà Nội</v>
          </cell>
        </row>
        <row r="297">
          <cell r="C297" t="str">
            <v>8716133679</v>
          </cell>
          <cell r="F297" t="str">
            <v>Tạ Quang Trung</v>
          </cell>
          <cell r="N297">
            <v>36587</v>
          </cell>
          <cell r="Q297" t="str">
            <v>Nam</v>
          </cell>
          <cell r="S297" t="str">
            <v>VN</v>
          </cell>
          <cell r="AA297">
            <v>46145</v>
          </cell>
          <cell r="AL297" t="str">
            <v>Thành phố Hồ Chí Minh</v>
          </cell>
        </row>
        <row r="298">
          <cell r="C298" t="str">
            <v>8720498954</v>
          </cell>
          <cell r="F298" t="str">
            <v>Nguyễn Thanh Thuận</v>
          </cell>
          <cell r="N298">
            <v>35952</v>
          </cell>
          <cell r="Q298" t="str">
            <v>Nam</v>
          </cell>
          <cell r="S298" t="str">
            <v>VN</v>
          </cell>
          <cell r="AA298">
            <v>45397</v>
          </cell>
          <cell r="AL298" t="str">
            <v>Thành phố Đà Nẵng</v>
          </cell>
        </row>
        <row r="299">
          <cell r="C299" t="str">
            <v>8724585904</v>
          </cell>
          <cell r="F299" t="str">
            <v>Phan Vũ Trọng Nhân</v>
          </cell>
          <cell r="N299">
            <v>36354</v>
          </cell>
          <cell r="Q299" t="str">
            <v>Nam</v>
          </cell>
          <cell r="S299" t="str">
            <v>VN</v>
          </cell>
          <cell r="AA299">
            <v>45566</v>
          </cell>
          <cell r="AL299" t="str">
            <v>Thành phố Hồ Chí Minh</v>
          </cell>
        </row>
        <row r="300">
          <cell r="C300" t="str">
            <v>8725038319</v>
          </cell>
          <cell r="F300" t="str">
            <v>Phạm Hương Giang</v>
          </cell>
          <cell r="N300">
            <v>36092</v>
          </cell>
          <cell r="Q300" t="str">
            <v>Nữ</v>
          </cell>
          <cell r="S300" t="str">
            <v>VN</v>
          </cell>
          <cell r="AA300">
            <v>45427</v>
          </cell>
          <cell r="AL300" t="str">
            <v>Thành phố Hà Nội</v>
          </cell>
        </row>
        <row r="301">
          <cell r="C301" t="str">
            <v>8725667973</v>
          </cell>
          <cell r="F301" t="str">
            <v>Hoàng Thị Mai</v>
          </cell>
          <cell r="N301">
            <v>36789</v>
          </cell>
          <cell r="Q301" t="str">
            <v>Nữ</v>
          </cell>
          <cell r="S301" t="str">
            <v>VN</v>
          </cell>
          <cell r="AA301">
            <v>45474</v>
          </cell>
          <cell r="AL301" t="str">
            <v>Thành phố Hà Nội</v>
          </cell>
        </row>
        <row r="302">
          <cell r="C302" t="str">
            <v>8726808049</v>
          </cell>
          <cell r="F302" t="str">
            <v>Trần Quốc Đạt</v>
          </cell>
          <cell r="N302">
            <v>36804</v>
          </cell>
          <cell r="Q302" t="str">
            <v>Nam</v>
          </cell>
          <cell r="S302" t="str">
            <v>VN</v>
          </cell>
          <cell r="AA302">
            <v>45523</v>
          </cell>
          <cell r="AL302" t="str">
            <v>Thành phố Hà Nội</v>
          </cell>
        </row>
        <row r="303">
          <cell r="C303" t="str">
            <v>8732998140</v>
          </cell>
          <cell r="F303" t="str">
            <v>Hoàng Yến Nhi</v>
          </cell>
          <cell r="N303">
            <v>36529</v>
          </cell>
          <cell r="Q303" t="str">
            <v>Nữ</v>
          </cell>
          <cell r="S303" t="str">
            <v>VN</v>
          </cell>
          <cell r="AA303">
            <v>46147</v>
          </cell>
          <cell r="AL303" t="str">
            <v>Thành phố Hà Nội</v>
          </cell>
        </row>
        <row r="304">
          <cell r="C304" t="str">
            <v>8733583759</v>
          </cell>
          <cell r="F304" t="str">
            <v>Trịnh Gia Bảo</v>
          </cell>
          <cell r="N304">
            <v>37600</v>
          </cell>
          <cell r="Q304" t="str">
            <v>Nam</v>
          </cell>
          <cell r="S304" t="str">
            <v>VN</v>
          </cell>
          <cell r="AA304">
            <v>45809</v>
          </cell>
          <cell r="AL304" t="str">
            <v>Thành phố Hà Nội</v>
          </cell>
        </row>
        <row r="305">
          <cell r="C305" t="str">
            <v>8735418077</v>
          </cell>
          <cell r="F305" t="str">
            <v>Nguyễn Thị Anh Quỳnh</v>
          </cell>
          <cell r="N305">
            <v>36394</v>
          </cell>
          <cell r="Q305" t="str">
            <v>Nữ</v>
          </cell>
          <cell r="S305" t="str">
            <v>VN</v>
          </cell>
          <cell r="AA305">
            <v>45206</v>
          </cell>
          <cell r="AL305" t="str">
            <v>Thành phố Hà Nội</v>
          </cell>
        </row>
        <row r="306">
          <cell r="C306" t="str">
            <v>8735702440</v>
          </cell>
          <cell r="F306" t="str">
            <v>Nghiêm Xuân Trung</v>
          </cell>
          <cell r="N306">
            <v>36916</v>
          </cell>
          <cell r="Q306" t="str">
            <v>Nam</v>
          </cell>
          <cell r="S306" t="str">
            <v>VN</v>
          </cell>
          <cell r="AA306">
            <v>45698</v>
          </cell>
          <cell r="AL306" t="str">
            <v>Thành phố Hà Nội</v>
          </cell>
        </row>
        <row r="307">
          <cell r="C307" t="str">
            <v>8736576453</v>
          </cell>
          <cell r="F307" t="str">
            <v>Lê Danh Phương</v>
          </cell>
          <cell r="N307">
            <v>35871</v>
          </cell>
          <cell r="Q307" t="str">
            <v>Nam</v>
          </cell>
          <cell r="S307" t="str">
            <v>VN</v>
          </cell>
          <cell r="AA307">
            <v>45819</v>
          </cell>
          <cell r="AL307" t="str">
            <v>Thành phố Hà Nội</v>
          </cell>
        </row>
        <row r="308">
          <cell r="C308" t="str">
            <v>8737425062</v>
          </cell>
          <cell r="F308" t="str">
            <v>Nguyễn Thế Dương</v>
          </cell>
          <cell r="N308">
            <v>36621</v>
          </cell>
          <cell r="Q308" t="str">
            <v>Nam</v>
          </cell>
          <cell r="S308" t="str">
            <v>VN</v>
          </cell>
          <cell r="AA308">
            <v>45863</v>
          </cell>
          <cell r="AL308" t="str">
            <v>Thành phố Hà Nội</v>
          </cell>
        </row>
        <row r="309">
          <cell r="C309" t="str">
            <v>8740318670</v>
          </cell>
          <cell r="F309" t="str">
            <v>Tạ Quang Tuấn</v>
          </cell>
          <cell r="N309">
            <v>37614</v>
          </cell>
          <cell r="Q309" t="str">
            <v>Nam</v>
          </cell>
          <cell r="S309" t="str">
            <v>VN</v>
          </cell>
          <cell r="AA309">
            <v>45596</v>
          </cell>
          <cell r="AL309" t="str">
            <v>Thành phố Hà Nội</v>
          </cell>
        </row>
        <row r="310">
          <cell r="C310" t="str">
            <v>8740458999</v>
          </cell>
          <cell r="F310" t="str">
            <v>Nguyễn Tiến Đạt</v>
          </cell>
          <cell r="N310">
            <v>37840</v>
          </cell>
          <cell r="Q310" t="str">
            <v>Nam</v>
          </cell>
          <cell r="S310" t="str">
            <v>VN</v>
          </cell>
          <cell r="AA310">
            <v>46228</v>
          </cell>
          <cell r="AL310" t="str">
            <v>Thành phố Hà Nội</v>
          </cell>
        </row>
        <row r="311">
          <cell r="C311" t="str">
            <v>8740605587</v>
          </cell>
          <cell r="F311" t="str">
            <v>Phạm Minh Hường</v>
          </cell>
          <cell r="N311">
            <v>37767</v>
          </cell>
          <cell r="Q311" t="str">
            <v>Nữ</v>
          </cell>
          <cell r="S311" t="str">
            <v>VN</v>
          </cell>
          <cell r="AA311">
            <v>45117</v>
          </cell>
          <cell r="AL311" t="str">
            <v>Thành phố Hà Nội</v>
          </cell>
        </row>
        <row r="312">
          <cell r="C312" t="str">
            <v>8741334379</v>
          </cell>
          <cell r="F312" t="str">
            <v>Đào Thành Lộc</v>
          </cell>
          <cell r="N312">
            <v>36547</v>
          </cell>
          <cell r="Q312" t="str">
            <v>Nam</v>
          </cell>
          <cell r="S312" t="str">
            <v>VN</v>
          </cell>
          <cell r="AA312">
            <v>45955</v>
          </cell>
          <cell r="AL312" t="str">
            <v>Thành phố Hà Nội</v>
          </cell>
        </row>
        <row r="313">
          <cell r="C313" t="str">
            <v>8741439815</v>
          </cell>
          <cell r="F313" t="str">
            <v>Nguyễn Trần Tuấn Anh</v>
          </cell>
          <cell r="N313">
            <v>36211</v>
          </cell>
          <cell r="Q313" t="str">
            <v>Nam</v>
          </cell>
          <cell r="S313" t="str">
            <v>VN</v>
          </cell>
          <cell r="AA313">
            <v>45510</v>
          </cell>
          <cell r="AL313" t="str">
            <v>Thành phố Hồ Chí Minh</v>
          </cell>
        </row>
        <row r="314">
          <cell r="C314" t="str">
            <v>8743768981</v>
          </cell>
          <cell r="F314" t="str">
            <v>Tạ Văn Hiệp</v>
          </cell>
          <cell r="N314">
            <v>35722</v>
          </cell>
          <cell r="Q314" t="str">
            <v>Nam</v>
          </cell>
          <cell r="S314" t="str">
            <v>VN</v>
          </cell>
          <cell r="AA314">
            <v>46185</v>
          </cell>
          <cell r="AL314" t="str">
            <v>Thành phố Hà Nội</v>
          </cell>
        </row>
        <row r="315">
          <cell r="C315" t="str">
            <v>8747161115</v>
          </cell>
          <cell r="F315" t="str">
            <v>Lê Nguyễn Yến Hồng</v>
          </cell>
          <cell r="N315">
            <v>36161</v>
          </cell>
          <cell r="Q315" t="str">
            <v>Nữ</v>
          </cell>
          <cell r="S315" t="str">
            <v>VN</v>
          </cell>
          <cell r="AA315">
            <v>45596</v>
          </cell>
          <cell r="AL315" t="str">
            <v>Thành phố Hồ Chí Minh</v>
          </cell>
        </row>
        <row r="316">
          <cell r="C316" t="str">
            <v>8751401264</v>
          </cell>
          <cell r="F316" t="str">
            <v>Trần Hồng Phương</v>
          </cell>
          <cell r="N316">
            <v>36837</v>
          </cell>
          <cell r="Q316" t="str">
            <v>Nữ</v>
          </cell>
          <cell r="S316" t="str">
            <v>VN</v>
          </cell>
          <cell r="AA316">
            <v>45530</v>
          </cell>
          <cell r="AL316" t="str">
            <v>Thành phố Hà Nội</v>
          </cell>
        </row>
        <row r="317">
          <cell r="C317" t="str">
            <v>8751530573</v>
          </cell>
          <cell r="F317" t="str">
            <v>Nguyễn Phạm Mỹ Duyên</v>
          </cell>
          <cell r="N317">
            <v>36742</v>
          </cell>
          <cell r="Q317" t="str">
            <v>Nữ</v>
          </cell>
          <cell r="S317" t="str">
            <v>VN</v>
          </cell>
          <cell r="AA317">
            <v>45194</v>
          </cell>
          <cell r="AL317" t="str">
            <v>Thành phố Hồ Chí Minh</v>
          </cell>
        </row>
        <row r="318">
          <cell r="C318" t="str">
            <v>8754772482</v>
          </cell>
          <cell r="F318" t="str">
            <v>Trần Công Tín</v>
          </cell>
          <cell r="N318">
            <v>36852</v>
          </cell>
          <cell r="Q318" t="str">
            <v>Nam</v>
          </cell>
          <cell r="S318" t="str">
            <v>VN</v>
          </cell>
          <cell r="AA318">
            <v>45733</v>
          </cell>
          <cell r="AL318" t="str">
            <v>Thành phố Hà Nội</v>
          </cell>
        </row>
        <row r="319">
          <cell r="C319" t="str">
            <v>8765990732</v>
          </cell>
          <cell r="F319" t="str">
            <v>Trần Hợp Kiên</v>
          </cell>
          <cell r="N319">
            <v>37478</v>
          </cell>
          <cell r="Q319" t="str">
            <v>Nam</v>
          </cell>
          <cell r="S319" t="str">
            <v>VN</v>
          </cell>
          <cell r="AA319">
            <v>45913</v>
          </cell>
          <cell r="AL319" t="str">
            <v>Thành phố Hà Nội</v>
          </cell>
        </row>
        <row r="320">
          <cell r="C320" t="str">
            <v>8772141384</v>
          </cell>
          <cell r="F320" t="str">
            <v>Nguyễn Tiến Đạt</v>
          </cell>
          <cell r="N320">
            <v>37803</v>
          </cell>
          <cell r="Q320" t="str">
            <v>Nam</v>
          </cell>
          <cell r="S320" t="str">
            <v>VN</v>
          </cell>
          <cell r="AA320">
            <v>46213</v>
          </cell>
          <cell r="AL320" t="str">
            <v>Thành phố Hà Nội</v>
          </cell>
        </row>
        <row r="321">
          <cell r="C321" t="str">
            <v>8773632152</v>
          </cell>
          <cell r="F321" t="str">
            <v>Trần Thanh Hằng</v>
          </cell>
          <cell r="N321">
            <v>36481</v>
          </cell>
          <cell r="Q321" t="str">
            <v>Nữ</v>
          </cell>
          <cell r="S321" t="str">
            <v>VN</v>
          </cell>
          <cell r="AA321">
            <v>45792</v>
          </cell>
          <cell r="AL321" t="str">
            <v>Thành phố Hà Nội</v>
          </cell>
        </row>
        <row r="322">
          <cell r="C322" t="str">
            <v>8777972946</v>
          </cell>
          <cell r="F322" t="str">
            <v>Thái Duy Minh</v>
          </cell>
          <cell r="N322">
            <v>37922</v>
          </cell>
          <cell r="Q322" t="str">
            <v>Nam</v>
          </cell>
          <cell r="S322" t="str">
            <v>VN</v>
          </cell>
          <cell r="AA322">
            <v>45627</v>
          </cell>
          <cell r="AL322" t="str">
            <v>Thành phố Hà Nội</v>
          </cell>
        </row>
        <row r="323">
          <cell r="C323" t="str">
            <v>8778579142</v>
          </cell>
          <cell r="F323" t="str">
            <v>Phan Thành Đạt</v>
          </cell>
          <cell r="N323">
            <v>35285</v>
          </cell>
          <cell r="Q323" t="str">
            <v>Nam</v>
          </cell>
          <cell r="S323" t="str">
            <v>VN</v>
          </cell>
          <cell r="AA323">
            <v>45117</v>
          </cell>
          <cell r="AL323" t="str">
            <v>Thành phố Hồ Chí Minh</v>
          </cell>
        </row>
        <row r="324">
          <cell r="C324" t="str">
            <v>8779865851</v>
          </cell>
          <cell r="F324" t="str">
            <v>Nguyễn Trần Lan Vy</v>
          </cell>
          <cell r="N324">
            <v>36351</v>
          </cell>
          <cell r="Q324" t="str">
            <v>Nữ</v>
          </cell>
          <cell r="S324" t="str">
            <v>VN</v>
          </cell>
          <cell r="AA324">
            <v>45887</v>
          </cell>
          <cell r="AL324" t="str">
            <v>Thành phố Hồ Chí Minh</v>
          </cell>
        </row>
        <row r="325">
          <cell r="C325" t="str">
            <v>8780265979</v>
          </cell>
          <cell r="F325" t="str">
            <v>Nguyễn Thị Khánh Linh</v>
          </cell>
          <cell r="N325">
            <v>37932</v>
          </cell>
          <cell r="Q325" t="str">
            <v>Nữ</v>
          </cell>
          <cell r="S325" t="str">
            <v>VN</v>
          </cell>
          <cell r="AA325">
            <v>45717</v>
          </cell>
          <cell r="AL325" t="str">
            <v>Thành phố Hà Nội</v>
          </cell>
        </row>
        <row r="326">
          <cell r="C326" t="str">
            <v>8783144267</v>
          </cell>
          <cell r="F326" t="str">
            <v>Lê Hồng Anh</v>
          </cell>
          <cell r="N326">
            <v>35842</v>
          </cell>
          <cell r="Q326" t="str">
            <v>Nữ</v>
          </cell>
          <cell r="S326" t="str">
            <v>VN</v>
          </cell>
          <cell r="AA326">
            <v>45870</v>
          </cell>
          <cell r="AL326" t="str">
            <v>Thành phố Hà Nội</v>
          </cell>
        </row>
        <row r="327">
          <cell r="C327" t="str">
            <v>8783396578</v>
          </cell>
          <cell r="F327" t="str">
            <v>Dương Anh Phi</v>
          </cell>
          <cell r="N327">
            <v>36612</v>
          </cell>
          <cell r="Q327" t="str">
            <v>Nam</v>
          </cell>
          <cell r="S327" t="str">
            <v>VN</v>
          </cell>
          <cell r="AA327">
            <v>45962</v>
          </cell>
          <cell r="AL327" t="str">
            <v>Tỉnh Bà Rịa - Vũng Tàu</v>
          </cell>
        </row>
        <row r="328">
          <cell r="C328" t="str">
            <v>8787689712</v>
          </cell>
          <cell r="F328" t="str">
            <v>Tô Minh Phương</v>
          </cell>
          <cell r="N328">
            <v>37227</v>
          </cell>
          <cell r="Q328" t="str">
            <v>Nữ</v>
          </cell>
          <cell r="S328" t="str">
            <v>VN</v>
          </cell>
          <cell r="AA328">
            <v>46195</v>
          </cell>
          <cell r="AL328" t="str">
            <v>Thành phố Hà Nội</v>
          </cell>
        </row>
        <row r="329">
          <cell r="C329" t="str">
            <v>8789298584</v>
          </cell>
          <cell r="F329" t="str">
            <v>Nguyễn Huệ Anh</v>
          </cell>
          <cell r="N329">
            <v>33907</v>
          </cell>
          <cell r="Q329" t="str">
            <v>Nữ</v>
          </cell>
          <cell r="S329" t="str">
            <v>VN</v>
          </cell>
          <cell r="AA329">
            <v>46092</v>
          </cell>
          <cell r="AL329" t="str">
            <v>Thành phố Hà Nội</v>
          </cell>
        </row>
        <row r="330">
          <cell r="C330" t="str">
            <v>8792841144</v>
          </cell>
          <cell r="F330" t="str">
            <v>Lê Lâm Kiều Oanh</v>
          </cell>
          <cell r="N330">
            <v>37023</v>
          </cell>
          <cell r="Q330" t="str">
            <v>Nữ</v>
          </cell>
          <cell r="S330" t="str">
            <v>VN</v>
          </cell>
          <cell r="AA330">
            <v>45394</v>
          </cell>
          <cell r="AL330" t="str">
            <v>Thành phố Hà Nội</v>
          </cell>
        </row>
        <row r="331">
          <cell r="C331" t="str">
            <v>8793146552</v>
          </cell>
          <cell r="F331" t="str">
            <v>Nguyễn Thanh Huy</v>
          </cell>
          <cell r="N331">
            <v>36898</v>
          </cell>
          <cell r="Q331" t="str">
            <v>Nam</v>
          </cell>
          <cell r="S331" t="str">
            <v>VN</v>
          </cell>
          <cell r="AA331">
            <v>45409</v>
          </cell>
          <cell r="AL331" t="str">
            <v>Thành phố Hồ Chí Minh</v>
          </cell>
        </row>
        <row r="332">
          <cell r="C332" t="str">
            <v>8793969362</v>
          </cell>
          <cell r="F332" t="str">
            <v>Lương Bình Minh</v>
          </cell>
          <cell r="N332">
            <v>36432</v>
          </cell>
          <cell r="Q332" t="str">
            <v>Nam</v>
          </cell>
          <cell r="S332" t="str">
            <v>VN</v>
          </cell>
          <cell r="AA332">
            <v>45497</v>
          </cell>
          <cell r="AL332" t="str">
            <v>Thành phố Hồ Chí Minh</v>
          </cell>
        </row>
        <row r="333">
          <cell r="C333" t="str">
            <v>8802269056</v>
          </cell>
          <cell r="F333" t="str">
            <v>Bạch Tuấn Anh</v>
          </cell>
          <cell r="N333">
            <v>36744</v>
          </cell>
          <cell r="Q333" t="str">
            <v>Nam</v>
          </cell>
          <cell r="S333" t="str">
            <v>VN</v>
          </cell>
          <cell r="AA333">
            <v>45572</v>
          </cell>
        </row>
        <row r="334">
          <cell r="C334" t="str">
            <v>8802724040</v>
          </cell>
          <cell r="F334" t="str">
            <v>Phạm Nguyễn Mỹ Linh</v>
          </cell>
          <cell r="N334">
            <v>36552</v>
          </cell>
          <cell r="Q334" t="str">
            <v>Nữ</v>
          </cell>
          <cell r="S334" t="str">
            <v>VN</v>
          </cell>
          <cell r="AA334">
            <v>45061</v>
          </cell>
          <cell r="AL334" t="str">
            <v>Thành phố Hà Nội</v>
          </cell>
        </row>
        <row r="335">
          <cell r="C335" t="str">
            <v>8802777081</v>
          </cell>
          <cell r="F335" t="str">
            <v>Lại Thùy Linh</v>
          </cell>
          <cell r="N335">
            <v>36500</v>
          </cell>
          <cell r="Q335" t="str">
            <v>Nữ</v>
          </cell>
          <cell r="S335" t="str">
            <v>VN</v>
          </cell>
          <cell r="AA335">
            <v>45369</v>
          </cell>
          <cell r="AL335" t="str">
            <v>Thành phố Hà Nội</v>
          </cell>
        </row>
        <row r="336">
          <cell r="C336" t="str">
            <v>8808055445</v>
          </cell>
          <cell r="F336" t="str">
            <v>Ngô Thị Thùy Trâm</v>
          </cell>
          <cell r="N336">
            <v>36598</v>
          </cell>
          <cell r="Q336" t="str">
            <v>Nữ</v>
          </cell>
          <cell r="S336" t="str">
            <v>VN</v>
          </cell>
          <cell r="AA336">
            <v>45830</v>
          </cell>
          <cell r="AL336" t="str">
            <v>Thành phố Hồ Chí Minh</v>
          </cell>
        </row>
        <row r="337">
          <cell r="C337" t="str">
            <v>8808687564</v>
          </cell>
          <cell r="F337" t="str">
            <v>Nguyễn Đức Hà</v>
          </cell>
          <cell r="N337">
            <v>34754</v>
          </cell>
          <cell r="Q337" t="str">
            <v>Nam</v>
          </cell>
          <cell r="S337" t="str">
            <v>VN</v>
          </cell>
          <cell r="AA337">
            <v>46137</v>
          </cell>
          <cell r="AL337" t="str">
            <v>Thành phố Hà Nội</v>
          </cell>
        </row>
        <row r="338">
          <cell r="C338" t="str">
            <v>8809576585</v>
          </cell>
          <cell r="F338" t="str">
            <v>Nguyễn Trung Kiên</v>
          </cell>
          <cell r="N338">
            <v>37235</v>
          </cell>
          <cell r="Q338" t="str">
            <v>Nam</v>
          </cell>
          <cell r="S338" t="str">
            <v>VN</v>
          </cell>
          <cell r="AA338">
            <v>45733</v>
          </cell>
          <cell r="AL338" t="str">
            <v>Thành phố Hà Nội</v>
          </cell>
        </row>
        <row r="339">
          <cell r="C339" t="str">
            <v>8810567345</v>
          </cell>
          <cell r="F339" t="str">
            <v>Vương Văn Trường</v>
          </cell>
          <cell r="N339">
            <v>36889</v>
          </cell>
          <cell r="Q339" t="str">
            <v>Nam</v>
          </cell>
          <cell r="S339" t="str">
            <v>VN</v>
          </cell>
          <cell r="AA339">
            <v>46116</v>
          </cell>
          <cell r="AL339" t="str">
            <v>Thành phố Hà Nội</v>
          </cell>
        </row>
        <row r="340">
          <cell r="C340" t="str">
            <v>8812075162</v>
          </cell>
          <cell r="F340" t="str">
            <v>Phạm Thị Nga</v>
          </cell>
          <cell r="N340">
            <v>36215</v>
          </cell>
          <cell r="Q340" t="str">
            <v>Nữ</v>
          </cell>
          <cell r="S340" t="str">
            <v>VN</v>
          </cell>
          <cell r="AA340">
            <v>46159</v>
          </cell>
          <cell r="AL340" t="str">
            <v>Thành phố Hà Nội</v>
          </cell>
        </row>
        <row r="341">
          <cell r="C341" t="str">
            <v>8815728229</v>
          </cell>
          <cell r="F341" t="str">
            <v>Nguyễn Phước Duy</v>
          </cell>
          <cell r="N341">
            <v>37209</v>
          </cell>
          <cell r="Q341" t="str">
            <v>Nam</v>
          </cell>
          <cell r="S341" t="str">
            <v>VN</v>
          </cell>
          <cell r="AA341">
            <v>46167</v>
          </cell>
          <cell r="AL341" t="str">
            <v>Thành phố Hồ Chí Minh</v>
          </cell>
        </row>
        <row r="342">
          <cell r="C342" t="str">
            <v>8817947988</v>
          </cell>
          <cell r="F342" t="str">
            <v>Phạm Nhật Minh</v>
          </cell>
          <cell r="N342">
            <v>36705</v>
          </cell>
          <cell r="Q342" t="str">
            <v>Nam</v>
          </cell>
          <cell r="S342" t="str">
            <v>VN</v>
          </cell>
          <cell r="AA342">
            <v>45777</v>
          </cell>
          <cell r="AL342" t="str">
            <v>Thành phố Hà Nội</v>
          </cell>
        </row>
        <row r="343">
          <cell r="C343" t="str">
            <v>8818768237</v>
          </cell>
          <cell r="F343" t="str">
            <v>Lã Thị Hồng Nhung</v>
          </cell>
          <cell r="N343">
            <v>37104</v>
          </cell>
          <cell r="Q343" t="str">
            <v>Nữ</v>
          </cell>
          <cell r="S343" t="str">
            <v>VN</v>
          </cell>
          <cell r="AA343">
            <v>45526</v>
          </cell>
          <cell r="AL343" t="str">
            <v>Thành phố Hà Nội</v>
          </cell>
        </row>
        <row r="344">
          <cell r="C344" t="str">
            <v>8822237662</v>
          </cell>
          <cell r="F344" t="str">
            <v>Bùi Thị Lụa</v>
          </cell>
          <cell r="N344">
            <v>37089</v>
          </cell>
          <cell r="Q344" t="str">
            <v>Nữ</v>
          </cell>
          <cell r="S344" t="str">
            <v>VN</v>
          </cell>
          <cell r="AA344">
            <v>45327</v>
          </cell>
          <cell r="AL344" t="str">
            <v>Thành phố Hà Nội</v>
          </cell>
        </row>
        <row r="345">
          <cell r="C345" t="str">
            <v>8824270094</v>
          </cell>
          <cell r="F345" t="str">
            <v>Tạ Minh Quang</v>
          </cell>
          <cell r="N345">
            <v>37562</v>
          </cell>
          <cell r="Q345" t="str">
            <v>Nam</v>
          </cell>
          <cell r="S345" t="str">
            <v>VN</v>
          </cell>
          <cell r="AA345">
            <v>45698</v>
          </cell>
          <cell r="AL345" t="str">
            <v>Thành phố Hà Nội</v>
          </cell>
        </row>
        <row r="346">
          <cell r="C346" t="str">
            <v>8827244134</v>
          </cell>
          <cell r="F346" t="str">
            <v>Lê Thị Thu Hiền</v>
          </cell>
          <cell r="N346">
            <v>36932</v>
          </cell>
          <cell r="Q346" t="str">
            <v>Nữ</v>
          </cell>
          <cell r="S346" t="str">
            <v>VN</v>
          </cell>
          <cell r="AA346">
            <v>45794</v>
          </cell>
          <cell r="AL346" t="str">
            <v>Thành phố Hà Nội</v>
          </cell>
        </row>
        <row r="347">
          <cell r="C347" t="str">
            <v>8828444538</v>
          </cell>
          <cell r="F347" t="str">
            <v>Nguyễn Thị Lệ</v>
          </cell>
          <cell r="N347">
            <v>36538</v>
          </cell>
          <cell r="Q347" t="str">
            <v>Nữ</v>
          </cell>
          <cell r="S347" t="str">
            <v>VN</v>
          </cell>
          <cell r="AA347">
            <v>45482</v>
          </cell>
          <cell r="AL347" t="str">
            <v>Thành phố Hà Nội</v>
          </cell>
        </row>
        <row r="348">
          <cell r="C348" t="str">
            <v>8829031942</v>
          </cell>
          <cell r="F348" t="str">
            <v>Đỗ Thị Lương</v>
          </cell>
          <cell r="N348">
            <v>37150</v>
          </cell>
          <cell r="Q348" t="str">
            <v>Nữ</v>
          </cell>
          <cell r="S348" t="str">
            <v>VN</v>
          </cell>
          <cell r="AA348">
            <v>45807</v>
          </cell>
          <cell r="AL348" t="str">
            <v>Thành phố Hà Nội</v>
          </cell>
        </row>
        <row r="349">
          <cell r="C349" t="str">
            <v>8832102079</v>
          </cell>
          <cell r="F349" t="str">
            <v>Dương Thị Tuyết Dân</v>
          </cell>
          <cell r="N349">
            <v>36792</v>
          </cell>
          <cell r="Q349" t="str">
            <v>Nữ</v>
          </cell>
          <cell r="S349" t="str">
            <v>VN</v>
          </cell>
          <cell r="AA349">
            <v>45857</v>
          </cell>
          <cell r="AL349" t="str">
            <v>Thành phố Hồ Chí Minh</v>
          </cell>
        </row>
        <row r="350">
          <cell r="C350" t="str">
            <v>8832684740</v>
          </cell>
          <cell r="F350" t="str">
            <v>Nguyễn Thị Thanh</v>
          </cell>
          <cell r="N350">
            <v>37261</v>
          </cell>
          <cell r="Q350" t="str">
            <v>Nữ</v>
          </cell>
          <cell r="S350" t="str">
            <v>VN</v>
          </cell>
          <cell r="AA350">
            <v>45814</v>
          </cell>
          <cell r="AL350" t="str">
            <v>Thành phố Hà Nội</v>
          </cell>
        </row>
        <row r="351">
          <cell r="C351" t="str">
            <v>8835130130</v>
          </cell>
          <cell r="F351" t="str">
            <v>Đỗ Thị Khánh Duyên</v>
          </cell>
          <cell r="N351">
            <v>36600</v>
          </cell>
          <cell r="Q351" t="str">
            <v>Nữ</v>
          </cell>
          <cell r="S351" t="str">
            <v>VN</v>
          </cell>
          <cell r="AA351">
            <v>45245</v>
          </cell>
          <cell r="AL351" t="str">
            <v>Thành phố Hà Nội</v>
          </cell>
        </row>
        <row r="352">
          <cell r="C352" t="str">
            <v>8838345166</v>
          </cell>
          <cell r="F352" t="str">
            <v>Hoàng Thị Hà Giang</v>
          </cell>
          <cell r="N352">
            <v>36917</v>
          </cell>
          <cell r="Q352" t="str">
            <v>Nữ</v>
          </cell>
          <cell r="S352" t="str">
            <v>VN</v>
          </cell>
          <cell r="AA352">
            <v>45772</v>
          </cell>
          <cell r="AL352" t="str">
            <v>Thành phố Hà Nội</v>
          </cell>
        </row>
        <row r="353">
          <cell r="C353" t="str">
            <v>8841164924</v>
          </cell>
          <cell r="F353" t="str">
            <v>Ngô Nguyệt Hường</v>
          </cell>
          <cell r="N353">
            <v>37617</v>
          </cell>
          <cell r="Q353" t="str">
            <v>Nữ</v>
          </cell>
          <cell r="S353" t="str">
            <v>VN</v>
          </cell>
          <cell r="AA353">
            <v>45236</v>
          </cell>
          <cell r="AL353" t="str">
            <v>Thành phố Hà Nội</v>
          </cell>
        </row>
        <row r="354">
          <cell r="C354" t="str">
            <v>8841467615</v>
          </cell>
          <cell r="F354" t="str">
            <v>Hoàng Tố Trâm</v>
          </cell>
          <cell r="N354">
            <v>37462</v>
          </cell>
          <cell r="Q354" t="str">
            <v>Nữ</v>
          </cell>
          <cell r="S354" t="str">
            <v>VN</v>
          </cell>
          <cell r="AA354">
            <v>45969</v>
          </cell>
          <cell r="AL354" t="str">
            <v>Thành phố Hồ Chí Minh</v>
          </cell>
        </row>
        <row r="355">
          <cell r="C355" t="str">
            <v>8845779541</v>
          </cell>
          <cell r="F355" t="str">
            <v>Trần Hữu Hào</v>
          </cell>
          <cell r="N355">
            <v>37020</v>
          </cell>
          <cell r="Q355" t="str">
            <v>Nam</v>
          </cell>
          <cell r="S355" t="str">
            <v>VN</v>
          </cell>
          <cell r="AA355">
            <v>45986</v>
          </cell>
          <cell r="AL355" t="str">
            <v>Thành phố Hà Nội</v>
          </cell>
        </row>
        <row r="356">
          <cell r="C356" t="str">
            <v>8847829565</v>
          </cell>
          <cell r="F356" t="str">
            <v>Võ Thị Thu Thảo</v>
          </cell>
          <cell r="N356">
            <v>36866</v>
          </cell>
          <cell r="Q356" t="str">
            <v>Nữ</v>
          </cell>
          <cell r="S356" t="str">
            <v>VN</v>
          </cell>
          <cell r="AA356">
            <v>45569</v>
          </cell>
          <cell r="AL356" t="str">
            <v>Thành phố Hồ Chí Minh</v>
          </cell>
        </row>
        <row r="357">
          <cell r="C357" t="str">
            <v>8852362734</v>
          </cell>
          <cell r="F357" t="str">
            <v>Nguyễn Thị Thùy Dung</v>
          </cell>
          <cell r="N357">
            <v>37023</v>
          </cell>
          <cell r="Q357" t="str">
            <v>Nữ</v>
          </cell>
          <cell r="S357" t="str">
            <v>VN</v>
          </cell>
          <cell r="AA357">
            <v>45785</v>
          </cell>
          <cell r="AL357" t="str">
            <v>Thành phố Hồ Chí Minh</v>
          </cell>
        </row>
        <row r="358">
          <cell r="C358" t="str">
            <v>8854699268</v>
          </cell>
          <cell r="F358" t="str">
            <v>Lê Hoàng Anh</v>
          </cell>
          <cell r="N358">
            <v>36526</v>
          </cell>
          <cell r="Q358" t="str">
            <v>Nam</v>
          </cell>
          <cell r="S358" t="str">
            <v>VN</v>
          </cell>
          <cell r="AA358">
            <v>45608</v>
          </cell>
          <cell r="AL358" t="str">
            <v>Thành phố Hồ Chí Minh</v>
          </cell>
        </row>
        <row r="359">
          <cell r="C359" t="str">
            <v>8858053404</v>
          </cell>
          <cell r="F359" t="str">
            <v>Phan Thị Minh Phượng</v>
          </cell>
          <cell r="N359">
            <v>36880</v>
          </cell>
          <cell r="Q359" t="str">
            <v>Nữ</v>
          </cell>
          <cell r="S359" t="str">
            <v>VN</v>
          </cell>
          <cell r="AA359">
            <v>45412</v>
          </cell>
          <cell r="AL359" t="str">
            <v>Thành phố Hà Nội</v>
          </cell>
        </row>
        <row r="360">
          <cell r="C360" t="str">
            <v>8858723433</v>
          </cell>
          <cell r="F360" t="str">
            <v>Trần Việt Tài</v>
          </cell>
          <cell r="N360">
            <v>37250</v>
          </cell>
          <cell r="Q360" t="str">
            <v>Nam</v>
          </cell>
          <cell r="S360" t="str">
            <v>VN</v>
          </cell>
          <cell r="AA360">
            <v>45292</v>
          </cell>
          <cell r="AL360" t="str">
            <v>Thành phố Hồ Chí Minh</v>
          </cell>
        </row>
        <row r="361">
          <cell r="C361" t="str">
            <v>8861628370</v>
          </cell>
          <cell r="F361" t="str">
            <v>Hoàng Đức Thuận</v>
          </cell>
          <cell r="N361">
            <v>36834</v>
          </cell>
          <cell r="Q361" t="str">
            <v>Nam</v>
          </cell>
          <cell r="S361" t="str">
            <v>VN</v>
          </cell>
          <cell r="AA361">
            <v>45757</v>
          </cell>
          <cell r="AL361" t="str">
            <v>Thành phố Hà Nội</v>
          </cell>
        </row>
        <row r="362">
          <cell r="C362" t="str">
            <v>8866622647</v>
          </cell>
          <cell r="F362" t="str">
            <v>Nguyễn Hoài Phương</v>
          </cell>
          <cell r="N362">
            <v>35930</v>
          </cell>
          <cell r="Q362" t="str">
            <v>Nữ</v>
          </cell>
          <cell r="S362" t="str">
            <v>VN</v>
          </cell>
          <cell r="AA362">
            <v>45702</v>
          </cell>
          <cell r="AL362" t="str">
            <v>Thành phố Hà Nội</v>
          </cell>
        </row>
        <row r="363">
          <cell r="C363" t="str">
            <v>8866887379</v>
          </cell>
          <cell r="F363" t="str">
            <v>Lê Văn Hiệp</v>
          </cell>
          <cell r="N363">
            <v>37973</v>
          </cell>
          <cell r="Q363" t="str">
            <v>Nam</v>
          </cell>
          <cell r="S363" t="str">
            <v>VN</v>
          </cell>
          <cell r="AA363">
            <v>46083</v>
          </cell>
          <cell r="AL363" t="str">
            <v>Thành phố Hà Nội</v>
          </cell>
        </row>
        <row r="364">
          <cell r="C364" t="str">
            <v>8869984236</v>
          </cell>
          <cell r="F364" t="str">
            <v>Phùng Thị Khánh Linh</v>
          </cell>
          <cell r="N364">
            <v>37615</v>
          </cell>
          <cell r="Q364" t="str">
            <v>Nữ</v>
          </cell>
          <cell r="S364" t="str">
            <v>VN</v>
          </cell>
          <cell r="AA364">
            <v>45482</v>
          </cell>
          <cell r="AL364" t="str">
            <v>Thành phố Hà Nội</v>
          </cell>
        </row>
        <row r="365">
          <cell r="C365" t="str">
            <v>8878069441</v>
          </cell>
          <cell r="F365" t="str">
            <v>Nguyễn Thị Mỹ Quyên</v>
          </cell>
          <cell r="N365">
            <v>36859</v>
          </cell>
          <cell r="Q365" t="str">
            <v>Nữ</v>
          </cell>
          <cell r="S365" t="str">
            <v>VN</v>
          </cell>
          <cell r="AA365">
            <v>45612</v>
          </cell>
          <cell r="AL365" t="str">
            <v>Thành phố Hồ Chí Minh</v>
          </cell>
        </row>
        <row r="366">
          <cell r="C366" t="str">
            <v>8881248338</v>
          </cell>
          <cell r="F366" t="str">
            <v>Đặng Thị Bích Đào</v>
          </cell>
          <cell r="N366">
            <v>37198</v>
          </cell>
          <cell r="Q366" t="str">
            <v>Nữ</v>
          </cell>
          <cell r="S366" t="str">
            <v>VN</v>
          </cell>
          <cell r="AA366">
            <v>46137</v>
          </cell>
          <cell r="AL366" t="str">
            <v>Thành phố Hà Nội</v>
          </cell>
        </row>
        <row r="367">
          <cell r="C367" t="str">
            <v>8881662901</v>
          </cell>
          <cell r="F367" t="str">
            <v>Đỗ Văn Trung</v>
          </cell>
          <cell r="N367">
            <v>37613</v>
          </cell>
          <cell r="Q367" t="str">
            <v>Nam</v>
          </cell>
          <cell r="S367" t="str">
            <v>VN</v>
          </cell>
          <cell r="AA367">
            <v>45700</v>
          </cell>
          <cell r="AL367" t="str">
            <v>Thành phố Hà Nội</v>
          </cell>
        </row>
        <row r="368">
          <cell r="C368" t="str">
            <v>8883439955</v>
          </cell>
          <cell r="F368" t="str">
            <v>Lưu Thị Phương</v>
          </cell>
          <cell r="N368">
            <v>37296</v>
          </cell>
          <cell r="Q368" t="str">
            <v>Nữ</v>
          </cell>
          <cell r="S368" t="str">
            <v>VN</v>
          </cell>
          <cell r="AA368">
            <v>45465</v>
          </cell>
          <cell r="AL368" t="str">
            <v>Thành phố Hà Nội</v>
          </cell>
        </row>
        <row r="369">
          <cell r="C369" t="str">
            <v>8883490599</v>
          </cell>
          <cell r="F369" t="str">
            <v>Lê Thị Kiều Trang</v>
          </cell>
          <cell r="N369">
            <v>36831</v>
          </cell>
          <cell r="Q369" t="str">
            <v>Nữ</v>
          </cell>
          <cell r="S369" t="str">
            <v>VN</v>
          </cell>
          <cell r="AA369">
            <v>45759</v>
          </cell>
          <cell r="AL369" t="str">
            <v>Thành phố Hà Nội</v>
          </cell>
        </row>
        <row r="370">
          <cell r="C370" t="str">
            <v>8887873539</v>
          </cell>
          <cell r="F370" t="str">
            <v>Nguyễn Lan Phương</v>
          </cell>
          <cell r="N370">
            <v>37700</v>
          </cell>
          <cell r="Q370" t="str">
            <v>Nữ</v>
          </cell>
          <cell r="S370" t="str">
            <v>VN</v>
          </cell>
          <cell r="AA370">
            <v>45931</v>
          </cell>
          <cell r="AL370" t="str">
            <v>Thành phố Hà Nội</v>
          </cell>
        </row>
        <row r="371">
          <cell r="C371" t="str">
            <v>8894473926</v>
          </cell>
          <cell r="F371" t="str">
            <v>Lê Thanh Hoa</v>
          </cell>
          <cell r="N371">
            <v>37573</v>
          </cell>
          <cell r="Q371" t="str">
            <v>Nữ</v>
          </cell>
          <cell r="S371" t="str">
            <v>VN</v>
          </cell>
          <cell r="AA371">
            <v>45748</v>
          </cell>
          <cell r="AL371" t="str">
            <v>Thành phố Hà Nội</v>
          </cell>
        </row>
        <row r="372">
          <cell r="C372" t="str">
            <v>8896058682</v>
          </cell>
          <cell r="F372" t="str">
            <v>Phùng Thị Cẩm Tiên</v>
          </cell>
          <cell r="N372">
            <v>37781</v>
          </cell>
          <cell r="Q372" t="str">
            <v>Nữ</v>
          </cell>
          <cell r="S372" t="str">
            <v>VN</v>
          </cell>
          <cell r="AA372">
            <v>45682</v>
          </cell>
          <cell r="AL372" t="str">
            <v>Thành phố Hồ Chí Minh</v>
          </cell>
        </row>
        <row r="373">
          <cell r="C373" t="str">
            <v>8901802331</v>
          </cell>
          <cell r="F373" t="str">
            <v>Phạm Thị Thanh Duyên</v>
          </cell>
          <cell r="N373">
            <v>37032</v>
          </cell>
          <cell r="Q373" t="str">
            <v>Nữ</v>
          </cell>
          <cell r="S373" t="str">
            <v>VN</v>
          </cell>
          <cell r="AA373">
            <v>45766</v>
          </cell>
          <cell r="AL373" t="str">
            <v>Thành phố Hồ Chí Minh</v>
          </cell>
        </row>
        <row r="374">
          <cell r="C374" t="str">
            <v>8902332470</v>
          </cell>
          <cell r="F374" t="str">
            <v>Vũ Anh Thư</v>
          </cell>
          <cell r="N374">
            <v>37337</v>
          </cell>
          <cell r="Q374" t="str">
            <v>Nữ</v>
          </cell>
          <cell r="S374" t="str">
            <v>VN</v>
          </cell>
          <cell r="AA374">
            <v>45764</v>
          </cell>
          <cell r="AL374" t="str">
            <v>Thành phố Hà Nội</v>
          </cell>
        </row>
        <row r="375">
          <cell r="C375" t="str">
            <v>8903097646</v>
          </cell>
          <cell r="F375" t="str">
            <v>Nguyễn Ngọc Ánh</v>
          </cell>
          <cell r="N375">
            <v>36932</v>
          </cell>
          <cell r="Q375" t="str">
            <v>Nữ</v>
          </cell>
          <cell r="S375" t="str">
            <v>VN</v>
          </cell>
          <cell r="AA375">
            <v>45682</v>
          </cell>
          <cell r="AL375" t="str">
            <v>Thành phố Hà Nội</v>
          </cell>
        </row>
        <row r="376">
          <cell r="C376" t="str">
            <v>8906032100</v>
          </cell>
          <cell r="F376" t="str">
            <v>Vũ Hồng Linh</v>
          </cell>
          <cell r="N376">
            <v>37284</v>
          </cell>
          <cell r="Q376" t="str">
            <v>Nam</v>
          </cell>
          <cell r="S376" t="str">
            <v>VN</v>
          </cell>
          <cell r="AA376">
            <v>45863</v>
          </cell>
          <cell r="AL376" t="str">
            <v>Thành phố Hà Nội</v>
          </cell>
        </row>
        <row r="377">
          <cell r="C377" t="str">
            <v>8906316409</v>
          </cell>
          <cell r="F377" t="str">
            <v>Nguyễn Thị Hằng</v>
          </cell>
          <cell r="N377">
            <v>36462</v>
          </cell>
          <cell r="Q377" t="str">
            <v>Nữ</v>
          </cell>
          <cell r="S377" t="str">
            <v>VN</v>
          </cell>
          <cell r="AA377">
            <v>45717</v>
          </cell>
          <cell r="AL377" t="str">
            <v>Thành phố Hà Nội</v>
          </cell>
        </row>
        <row r="378">
          <cell r="C378" t="str">
            <v>8915257326</v>
          </cell>
          <cell r="F378" t="str">
            <v>Nguyễn Huyền Trang</v>
          </cell>
          <cell r="N378">
            <v>37562</v>
          </cell>
          <cell r="Q378" t="str">
            <v>Nữ</v>
          </cell>
          <cell r="S378" t="str">
            <v>VN</v>
          </cell>
          <cell r="AA378">
            <v>46016</v>
          </cell>
          <cell r="AL378" t="str">
            <v>Thành phố Hà Nội</v>
          </cell>
        </row>
        <row r="379">
          <cell r="C379" t="str">
            <v>8936628545</v>
          </cell>
          <cell r="F379" t="str">
            <v>Nguyễn Thị Minh Hằng</v>
          </cell>
          <cell r="N379">
            <v>37307</v>
          </cell>
          <cell r="Q379" t="str">
            <v>Nữ</v>
          </cell>
          <cell r="S379" t="str">
            <v>VN</v>
          </cell>
          <cell r="AA379">
            <v>46006</v>
          </cell>
          <cell r="AL379" t="str">
            <v>Thành phố Hà Nội</v>
          </cell>
        </row>
        <row r="380">
          <cell r="C380" t="str">
            <v>8938788852</v>
          </cell>
          <cell r="F380" t="str">
            <v>Hoàng Ngọc Hải</v>
          </cell>
          <cell r="N380">
            <v>38961</v>
          </cell>
          <cell r="Q380" t="str">
            <v>Nam</v>
          </cell>
          <cell r="S380" t="str">
            <v>VN</v>
          </cell>
          <cell r="AA380">
            <v>46023</v>
          </cell>
          <cell r="AL380" t="str">
            <v>Thành phố Hà Nội</v>
          </cell>
        </row>
        <row r="381">
          <cell r="C381" t="str">
            <v>0000000009</v>
          </cell>
          <cell r="F381" t="str">
            <v>Lê Cảnh Hưng</v>
          </cell>
          <cell r="N381">
            <v>38367</v>
          </cell>
          <cell r="Q381" t="str">
            <v>Nam</v>
          </cell>
          <cell r="S381" t="str">
            <v>VN</v>
          </cell>
          <cell r="AA381">
            <v>45658</v>
          </cell>
          <cell r="AL381" t="str">
            <v>Thành phố Hà Nội</v>
          </cell>
        </row>
        <row r="382">
          <cell r="C382" t="str">
            <v>001201003038</v>
          </cell>
          <cell r="F382" t="str">
            <v>Đào Duy Minh</v>
          </cell>
          <cell r="N382">
            <v>37141</v>
          </cell>
          <cell r="Q382" t="str">
            <v>Nam</v>
          </cell>
          <cell r="S382" t="str">
            <v>VN</v>
          </cell>
          <cell r="AA382">
            <v>45959</v>
          </cell>
          <cell r="AL382" t="str">
            <v>Thành phố Hà Nội</v>
          </cell>
        </row>
        <row r="383">
          <cell r="C383" t="str">
            <v>001303010221</v>
          </cell>
          <cell r="F383" t="str">
            <v>Lê Thanh Thảo</v>
          </cell>
          <cell r="N383">
            <v>37932</v>
          </cell>
          <cell r="Q383" t="str">
            <v>Nữ</v>
          </cell>
          <cell r="S383" t="str">
            <v>VN</v>
          </cell>
          <cell r="AA383">
            <v>46056</v>
          </cell>
          <cell r="AL383" t="str">
            <v>Thành phố Hà Nội</v>
          </cell>
        </row>
        <row r="384">
          <cell r="C384" t="str">
            <v>00708</v>
          </cell>
          <cell r="F384" t="str">
            <v>Vũ Đức Anh</v>
          </cell>
          <cell r="N384">
            <v>37624</v>
          </cell>
          <cell r="Q384" t="str">
            <v>Nam</v>
          </cell>
          <cell r="S384" t="str">
            <v>VN</v>
          </cell>
          <cell r="AA384">
            <v>45137</v>
          </cell>
          <cell r="AL384" t="str">
            <v>Thành phố Hà Nội</v>
          </cell>
        </row>
        <row r="385">
          <cell r="C385" t="str">
            <v>00720</v>
          </cell>
          <cell r="F385" t="str">
            <v>Dương Ngọc Quý</v>
          </cell>
          <cell r="N385">
            <v>36981</v>
          </cell>
          <cell r="Q385" t="str">
            <v>Nam</v>
          </cell>
          <cell r="S385" t="str">
            <v>VN</v>
          </cell>
          <cell r="AA385">
            <v>45216</v>
          </cell>
          <cell r="AL385" t="str">
            <v>Thành phố Hà Nội</v>
          </cell>
        </row>
        <row r="386">
          <cell r="C386" t="str">
            <v>00722</v>
          </cell>
          <cell r="F386" t="str">
            <v>Nguyễn Triệu Nam</v>
          </cell>
          <cell r="N386">
            <v>36901</v>
          </cell>
          <cell r="Q386" t="str">
            <v>Nam</v>
          </cell>
          <cell r="S386" t="str">
            <v>VN</v>
          </cell>
          <cell r="AA386">
            <v>45134</v>
          </cell>
          <cell r="AL386" t="str">
            <v>Thành phố Hà Nội</v>
          </cell>
        </row>
        <row r="387">
          <cell r="C387" t="str">
            <v>00733</v>
          </cell>
          <cell r="F387" t="str">
            <v>Đỗ Thanh Thuý</v>
          </cell>
          <cell r="N387">
            <v>37134</v>
          </cell>
          <cell r="Q387" t="str">
            <v>Nữ</v>
          </cell>
          <cell r="S387" t="str">
            <v>VN</v>
          </cell>
          <cell r="AA387">
            <v>45213</v>
          </cell>
          <cell r="AL387" t="str">
            <v>Tỉnh Thanh Hóa</v>
          </cell>
        </row>
        <row r="388">
          <cell r="C388" t="str">
            <v>00739</v>
          </cell>
          <cell r="F388" t="str">
            <v>Phạm Hồng Phước</v>
          </cell>
          <cell r="N388">
            <v>37300</v>
          </cell>
          <cell r="Q388" t="str">
            <v>Nam</v>
          </cell>
          <cell r="S388" t="str">
            <v>VN</v>
          </cell>
          <cell r="AA388">
            <v>45185</v>
          </cell>
          <cell r="AL388" t="str">
            <v>Thành phố Hà Nội</v>
          </cell>
        </row>
        <row r="389">
          <cell r="C389" t="str">
            <v>00741</v>
          </cell>
          <cell r="F389" t="str">
            <v>Trần Minh Hiếu</v>
          </cell>
          <cell r="N389">
            <v>37491</v>
          </cell>
          <cell r="Q389" t="str">
            <v>Nữ</v>
          </cell>
          <cell r="S389" t="str">
            <v>VN</v>
          </cell>
          <cell r="AA389">
            <v>45185</v>
          </cell>
          <cell r="AL389" t="str">
            <v>Thành phố Hà Nội</v>
          </cell>
        </row>
        <row r="390">
          <cell r="C390" t="str">
            <v>00742</v>
          </cell>
          <cell r="F390" t="str">
            <v>Dương Lê Minh</v>
          </cell>
          <cell r="N390">
            <v>37507</v>
          </cell>
          <cell r="Q390" t="str">
            <v>Nam</v>
          </cell>
          <cell r="S390" t="str">
            <v>VN</v>
          </cell>
          <cell r="AA390">
            <v>45185</v>
          </cell>
          <cell r="AL390" t="str">
            <v>Thành phố Hà Nội</v>
          </cell>
        </row>
        <row r="391">
          <cell r="C391" t="str">
            <v>00745</v>
          </cell>
          <cell r="F391" t="str">
            <v>Tạ Nguyễn Đức Dũng</v>
          </cell>
          <cell r="N391">
            <v>45153</v>
          </cell>
          <cell r="Q391" t="str">
            <v>Nam</v>
          </cell>
          <cell r="S391" t="str">
            <v>VN</v>
          </cell>
          <cell r="AA391">
            <v>45185</v>
          </cell>
          <cell r="AL391" t="str">
            <v>Thành phố Hà Nội</v>
          </cell>
        </row>
        <row r="392">
          <cell r="C392" t="str">
            <v>00746</v>
          </cell>
          <cell r="F392" t="str">
            <v>Nguyễn Hữu Du</v>
          </cell>
          <cell r="N392">
            <v>45153</v>
          </cell>
          <cell r="Q392" t="str">
            <v>Nam</v>
          </cell>
          <cell r="S392" t="str">
            <v>VN</v>
          </cell>
          <cell r="AA392">
            <v>45185</v>
          </cell>
          <cell r="AL392" t="str">
            <v>Thành phố Hà Nội</v>
          </cell>
        </row>
        <row r="393">
          <cell r="C393" t="str">
            <v>00747</v>
          </cell>
          <cell r="F393" t="str">
            <v>Trần Đăng Khoa</v>
          </cell>
          <cell r="N393">
            <v>37478</v>
          </cell>
          <cell r="Q393" t="str">
            <v>Nam</v>
          </cell>
          <cell r="S393" t="str">
            <v>VN</v>
          </cell>
          <cell r="AA393">
            <v>45185</v>
          </cell>
          <cell r="AL393" t="str">
            <v>Thành phố Hà Nội</v>
          </cell>
        </row>
        <row r="394">
          <cell r="C394" t="str">
            <v>00748</v>
          </cell>
          <cell r="F394" t="str">
            <v>Trần Văn Trung</v>
          </cell>
          <cell r="N394">
            <v>37575</v>
          </cell>
          <cell r="Q394" t="str">
            <v>Nam</v>
          </cell>
          <cell r="S394" t="str">
            <v>VN</v>
          </cell>
          <cell r="AA394">
            <v>45185</v>
          </cell>
          <cell r="AL394" t="str">
            <v>Thành phố Hà Nội</v>
          </cell>
        </row>
        <row r="395">
          <cell r="C395" t="str">
            <v>00755</v>
          </cell>
          <cell r="F395" t="str">
            <v>Nguyễn Anh Dũng</v>
          </cell>
          <cell r="N395">
            <v>37207</v>
          </cell>
          <cell r="Q395" t="str">
            <v>Nam</v>
          </cell>
          <cell r="S395" t="str">
            <v>VN</v>
          </cell>
          <cell r="AA395">
            <v>45285</v>
          </cell>
          <cell r="AL395" t="str">
            <v>Thành phố Hà Nội</v>
          </cell>
        </row>
        <row r="396">
          <cell r="C396" t="str">
            <v>00759</v>
          </cell>
          <cell r="F396" t="str">
            <v>Ngô Lương Ngọc Mai</v>
          </cell>
          <cell r="N396">
            <v>36854</v>
          </cell>
          <cell r="Q396" t="str">
            <v>Nữ</v>
          </cell>
          <cell r="S396" t="str">
            <v>VN</v>
          </cell>
          <cell r="AA396">
            <v>45167</v>
          </cell>
          <cell r="AL396" t="str">
            <v>Thành phố Hà Nội</v>
          </cell>
        </row>
        <row r="397">
          <cell r="C397" t="str">
            <v>00787</v>
          </cell>
          <cell r="F397" t="str">
            <v>Trần Thị Thảo Anh</v>
          </cell>
          <cell r="N397">
            <v>37137</v>
          </cell>
          <cell r="Q397" t="str">
            <v>Nam</v>
          </cell>
          <cell r="S397" t="str">
            <v>VN</v>
          </cell>
          <cell r="AA397">
            <v>45306</v>
          </cell>
          <cell r="AL397" t="str">
            <v>Thành phố Hà Nội</v>
          </cell>
        </row>
        <row r="398">
          <cell r="C398" t="str">
            <v>00790</v>
          </cell>
          <cell r="F398" t="str">
            <v>Lương Thị Thảo</v>
          </cell>
          <cell r="N398">
            <v>36617</v>
          </cell>
          <cell r="Q398" t="str">
            <v>Nữ</v>
          </cell>
          <cell r="S398" t="str">
            <v>VN</v>
          </cell>
          <cell r="AA398">
            <v>45276</v>
          </cell>
          <cell r="AL398" t="str">
            <v>Thành phố Hà Nội</v>
          </cell>
        </row>
        <row r="399">
          <cell r="C399" t="str">
            <v>019304004514</v>
          </cell>
          <cell r="F399" t="str">
            <v>Nguyễn Thị Hồng Huế</v>
          </cell>
          <cell r="N399">
            <v>38247</v>
          </cell>
          <cell r="Q399" t="str">
            <v>Nữ</v>
          </cell>
          <cell r="S399" t="str">
            <v>VN</v>
          </cell>
          <cell r="AA399">
            <v>46148</v>
          </cell>
          <cell r="AL399" t="str">
            <v>Thành phố Hà Nội</v>
          </cell>
        </row>
        <row r="400">
          <cell r="C400" t="str">
            <v>027304011868</v>
          </cell>
          <cell r="F400" t="str">
            <v>Hoàng Thanh Ngân</v>
          </cell>
          <cell r="N400">
            <v>38289</v>
          </cell>
          <cell r="Q400" t="str">
            <v>Nữ</v>
          </cell>
          <cell r="S400" t="str">
            <v>VN</v>
          </cell>
          <cell r="AA400">
            <v>46043</v>
          </cell>
          <cell r="AL400" t="str">
            <v>Thành phố Hà Nội</v>
          </cell>
        </row>
        <row r="401">
          <cell r="C401" t="str">
            <v>030303011265</v>
          </cell>
          <cell r="F401" t="str">
            <v>Nguyễn Minh Phương</v>
          </cell>
          <cell r="N401">
            <v>37688</v>
          </cell>
          <cell r="Q401" t="str">
            <v>Nữ</v>
          </cell>
          <cell r="S401" t="str">
            <v>VN</v>
          </cell>
          <cell r="AA401">
            <v>46053</v>
          </cell>
          <cell r="AL401" t="str">
            <v>Thành phố Hà Nội</v>
          </cell>
        </row>
        <row r="402">
          <cell r="C402" t="str">
            <v>037203002735</v>
          </cell>
          <cell r="F402" t="str">
            <v>Đinh Quốc Tuấn</v>
          </cell>
          <cell r="N402">
            <v>37855</v>
          </cell>
          <cell r="Q402" t="str">
            <v>Nam</v>
          </cell>
          <cell r="S402" t="str">
            <v>VN</v>
          </cell>
          <cell r="AA402">
            <v>46077</v>
          </cell>
          <cell r="AL402" t="str">
            <v>Thành phố Hà Nội</v>
          </cell>
        </row>
        <row r="403">
          <cell r="C403" t="str">
            <v>038303022059</v>
          </cell>
          <cell r="F403" t="str">
            <v>Lê Thị Phương</v>
          </cell>
          <cell r="N403">
            <v>37741</v>
          </cell>
          <cell r="Q403" t="str">
            <v>Nữ</v>
          </cell>
          <cell r="S403" t="str">
            <v>VN</v>
          </cell>
          <cell r="AA403">
            <v>45908</v>
          </cell>
          <cell r="AL403" t="str">
            <v>Thành phố Hà Nội</v>
          </cell>
        </row>
        <row r="404">
          <cell r="C404" t="str">
            <v>070304002869</v>
          </cell>
          <cell r="F404" t="str">
            <v>Nguyễn Thị Hải Dương</v>
          </cell>
          <cell r="N404">
            <v>38199</v>
          </cell>
          <cell r="Q404" t="str">
            <v>Nữ</v>
          </cell>
          <cell r="S404" t="str">
            <v>VN</v>
          </cell>
          <cell r="AA404">
            <v>46158</v>
          </cell>
          <cell r="AL404" t="str">
            <v>Thành phố Hồ Chí Minh</v>
          </cell>
        </row>
        <row r="405">
          <cell r="C405" t="str">
            <v>8379810921</v>
          </cell>
          <cell r="F405" t="str">
            <v>Nguyễn Thị Thy Nhân</v>
          </cell>
          <cell r="N405">
            <v>36997</v>
          </cell>
          <cell r="Q405" t="str">
            <v>Nữ</v>
          </cell>
          <cell r="S405" t="str">
            <v>VN</v>
          </cell>
          <cell r="AA405">
            <v>45340</v>
          </cell>
          <cell r="AL405" t="str">
            <v>Thành phố Hồ Chí Minh</v>
          </cell>
        </row>
        <row r="406">
          <cell r="C406" t="str">
            <v>8381850167</v>
          </cell>
          <cell r="F406" t="str">
            <v>Đinh Hoàng Duy Khánh</v>
          </cell>
          <cell r="N406">
            <v>37624</v>
          </cell>
          <cell r="Q406" t="str">
            <v>Nam</v>
          </cell>
          <cell r="S406" t="str">
            <v>VN</v>
          </cell>
          <cell r="AA406">
            <v>45888</v>
          </cell>
          <cell r="AL406" t="str">
            <v>Thành phố Hồ Chí Minh</v>
          </cell>
        </row>
        <row r="407">
          <cell r="C407" t="str">
            <v>8422439449</v>
          </cell>
          <cell r="F407" t="str">
            <v>Ngô Ngọc Thảo</v>
          </cell>
          <cell r="N407">
            <v>37114</v>
          </cell>
          <cell r="Q407" t="str">
            <v>Nữ</v>
          </cell>
          <cell r="S407" t="str">
            <v>VN</v>
          </cell>
          <cell r="AA407">
            <v>45272</v>
          </cell>
          <cell r="AL407" t="str">
            <v>Thành phố Hà Nội</v>
          </cell>
        </row>
        <row r="408">
          <cell r="C408" t="str">
            <v>8444868427</v>
          </cell>
          <cell r="F408" t="str">
            <v>Đoàn Thị Hồng Hạnh</v>
          </cell>
          <cell r="N408">
            <v>36902</v>
          </cell>
          <cell r="Q408" t="str">
            <v>Nữ</v>
          </cell>
          <cell r="S408" t="str">
            <v>VN</v>
          </cell>
          <cell r="AA408">
            <v>45195</v>
          </cell>
          <cell r="AL408" t="str">
            <v>Thành phố Hà Nội</v>
          </cell>
        </row>
        <row r="409">
          <cell r="C409" t="str">
            <v>8459666712</v>
          </cell>
          <cell r="F409" t="str">
            <v>Đặng Quang Trung</v>
          </cell>
          <cell r="N409">
            <v>45153</v>
          </cell>
          <cell r="Q409" t="str">
            <v>Nam</v>
          </cell>
          <cell r="S409" t="str">
            <v>VN</v>
          </cell>
          <cell r="AA409">
            <v>45185</v>
          </cell>
          <cell r="AL409" t="str">
            <v>Thành phố Hà Nội</v>
          </cell>
        </row>
        <row r="410">
          <cell r="C410" t="str">
            <v>8561044783</v>
          </cell>
          <cell r="F410" t="str">
            <v>Trần Đăng Khoa</v>
          </cell>
          <cell r="N410">
            <v>36910</v>
          </cell>
          <cell r="Q410" t="str">
            <v>Nam</v>
          </cell>
          <cell r="S410" t="str">
            <v>VN</v>
          </cell>
          <cell r="AA410">
            <v>45745</v>
          </cell>
          <cell r="AL410" t="str">
            <v>Thành phố Hồ Chí Minh</v>
          </cell>
        </row>
        <row r="411">
          <cell r="C411" t="str">
            <v>8561535340</v>
          </cell>
          <cell r="F411" t="str">
            <v>Đỗ Minh Quân</v>
          </cell>
          <cell r="N411">
            <v>37380</v>
          </cell>
          <cell r="Q411" t="str">
            <v>Nam</v>
          </cell>
          <cell r="S411" t="str">
            <v>VN</v>
          </cell>
          <cell r="AA411">
            <v>45505</v>
          </cell>
          <cell r="AL411" t="str">
            <v>Thành phố Hà Nội</v>
          </cell>
        </row>
        <row r="412">
          <cell r="C412" t="str">
            <v>8612626422</v>
          </cell>
          <cell r="F412" t="str">
            <v>Mai Hà Thanh</v>
          </cell>
          <cell r="N412">
            <v>37194</v>
          </cell>
          <cell r="Q412" t="str">
            <v>Nữ</v>
          </cell>
          <cell r="S412" t="str">
            <v>VN</v>
          </cell>
          <cell r="AA412">
            <v>45362</v>
          </cell>
          <cell r="AL412" t="str">
            <v>Thành phố Hà Nội</v>
          </cell>
        </row>
        <row r="413">
          <cell r="C413" t="str">
            <v>8630806019</v>
          </cell>
          <cell r="F413" t="str">
            <v>Phan Thành Long</v>
          </cell>
          <cell r="N413">
            <v>36892</v>
          </cell>
          <cell r="Q413" t="str">
            <v>Nam</v>
          </cell>
          <cell r="S413" t="str">
            <v>VN</v>
          </cell>
          <cell r="AA413">
            <v>45717</v>
          </cell>
          <cell r="AL413" t="str">
            <v>Thành phố Hồ Chí Minh</v>
          </cell>
        </row>
        <row r="414">
          <cell r="C414" t="str">
            <v>8640309778</v>
          </cell>
          <cell r="F414" t="str">
            <v>Nguyễn Thanh Tùng</v>
          </cell>
          <cell r="N414">
            <v>36548</v>
          </cell>
          <cell r="Q414" t="str">
            <v>Nam</v>
          </cell>
          <cell r="S414" t="str">
            <v>VN</v>
          </cell>
          <cell r="AA414">
            <v>45590</v>
          </cell>
          <cell r="AL414" t="str">
            <v>Thành phố Hà Nội</v>
          </cell>
        </row>
        <row r="415">
          <cell r="C415" t="str">
            <v>8642976103</v>
          </cell>
          <cell r="F415" t="str">
            <v>Nguyễn Anh Đức</v>
          </cell>
          <cell r="N415">
            <v>37205</v>
          </cell>
          <cell r="Q415" t="str">
            <v>Nam</v>
          </cell>
          <cell r="S415" t="str">
            <v>VN</v>
          </cell>
          <cell r="AA415">
            <v>45754</v>
          </cell>
          <cell r="AL415" t="str">
            <v>Thành phố Hà Nội</v>
          </cell>
        </row>
        <row r="416">
          <cell r="C416" t="str">
            <v>8667128803</v>
          </cell>
          <cell r="F416" t="str">
            <v>Võ Đình Nguyên</v>
          </cell>
          <cell r="N416">
            <v>37425</v>
          </cell>
          <cell r="Q416" t="str">
            <v>Nam</v>
          </cell>
          <cell r="S416" t="str">
            <v>VN</v>
          </cell>
          <cell r="AA416">
            <v>45577</v>
          </cell>
          <cell r="AL416" t="str">
            <v>Thành phố Hồ Chí Minh</v>
          </cell>
        </row>
        <row r="417">
          <cell r="C417" t="str">
            <v>8680136627</v>
          </cell>
          <cell r="F417" t="str">
            <v>Huỳnh Khánh Vy</v>
          </cell>
          <cell r="N417">
            <v>37411</v>
          </cell>
          <cell r="Q417" t="str">
            <v>Nữ</v>
          </cell>
          <cell r="S417" t="str">
            <v>VN</v>
          </cell>
          <cell r="AA417">
            <v>45745</v>
          </cell>
          <cell r="AL417" t="str">
            <v>Thành phố Hồ Chí Minh</v>
          </cell>
        </row>
        <row r="418">
          <cell r="C418" t="str">
            <v>8695511006</v>
          </cell>
          <cell r="F418" t="str">
            <v>Vũ Đình Diệm</v>
          </cell>
          <cell r="N418">
            <v>37220</v>
          </cell>
          <cell r="Q418" t="str">
            <v>Nam</v>
          </cell>
          <cell r="S418" t="str">
            <v>VN</v>
          </cell>
          <cell r="AA418">
            <v>45709</v>
          </cell>
          <cell r="AL418" t="str">
            <v>Thành phố Hà Nội</v>
          </cell>
        </row>
        <row r="419">
          <cell r="C419" t="str">
            <v>8697074344</v>
          </cell>
          <cell r="F419" t="str">
            <v>Trần Văn Lộc</v>
          </cell>
          <cell r="N419">
            <v>37394</v>
          </cell>
          <cell r="Q419" t="str">
            <v>Nam</v>
          </cell>
          <cell r="S419" t="str">
            <v>VN</v>
          </cell>
          <cell r="AA419">
            <v>45185</v>
          </cell>
          <cell r="AL419" t="str">
            <v>Thành phố Hà Nội</v>
          </cell>
        </row>
        <row r="420">
          <cell r="C420" t="str">
            <v>8708035614</v>
          </cell>
          <cell r="F420" t="str">
            <v>Nguyễn Thị Hồng Hạnh</v>
          </cell>
          <cell r="N420">
            <v>37347</v>
          </cell>
          <cell r="Q420" t="str">
            <v>Nữ</v>
          </cell>
          <cell r="S420" t="str">
            <v>VN</v>
          </cell>
          <cell r="AA420">
            <v>45324</v>
          </cell>
          <cell r="AL420" t="str">
            <v>Thành phố Hà Nội</v>
          </cell>
        </row>
        <row r="421">
          <cell r="C421" t="str">
            <v>8720032497</v>
          </cell>
          <cell r="F421" t="str">
            <v>Vũ Minh Nghĩa</v>
          </cell>
          <cell r="N421">
            <v>37653</v>
          </cell>
          <cell r="Q421" t="str">
            <v>Nam</v>
          </cell>
          <cell r="S421" t="str">
            <v>VN</v>
          </cell>
          <cell r="AA421">
            <v>45886</v>
          </cell>
          <cell r="AL421" t="str">
            <v>Thành phố Hà Nội</v>
          </cell>
        </row>
        <row r="422">
          <cell r="C422" t="str">
            <v>8720697854</v>
          </cell>
          <cell r="F422" t="str">
            <v>Hoàng Văn Ngọc</v>
          </cell>
          <cell r="N422">
            <v>37293</v>
          </cell>
          <cell r="Q422" t="str">
            <v>Nam</v>
          </cell>
          <cell r="S422" t="str">
            <v>VN</v>
          </cell>
          <cell r="AA422">
            <v>45285</v>
          </cell>
        </row>
        <row r="423">
          <cell r="C423" t="str">
            <v>8736317924</v>
          </cell>
          <cell r="F423" t="str">
            <v>Ngô Xuân Lộc</v>
          </cell>
          <cell r="N423">
            <v>36084</v>
          </cell>
          <cell r="Q423" t="str">
            <v>Nam</v>
          </cell>
          <cell r="S423" t="str">
            <v>VN</v>
          </cell>
          <cell r="AA423">
            <v>45807</v>
          </cell>
        </row>
        <row r="424">
          <cell r="C424" t="str">
            <v>8736581051</v>
          </cell>
          <cell r="F424" t="str">
            <v>Nguyễn Ngọc Vân Anh</v>
          </cell>
          <cell r="N424">
            <v>37725</v>
          </cell>
          <cell r="Q424" t="str">
            <v>Nữ</v>
          </cell>
          <cell r="S424" t="str">
            <v>VN</v>
          </cell>
          <cell r="AA424">
            <v>45527</v>
          </cell>
          <cell r="AL424" t="str">
            <v>Thành phố Hồ Chí Minh</v>
          </cell>
        </row>
        <row r="425">
          <cell r="C425" t="str">
            <v>8754365487</v>
          </cell>
          <cell r="F425" t="str">
            <v>Lê Thị Mỹ Linh</v>
          </cell>
          <cell r="N425">
            <v>37418</v>
          </cell>
          <cell r="Q425" t="str">
            <v>Nữ</v>
          </cell>
          <cell r="S425" t="str">
            <v>VN</v>
          </cell>
          <cell r="AA425">
            <v>45419</v>
          </cell>
          <cell r="AL425" t="str">
            <v>Thành phố Hồ Chí Minh</v>
          </cell>
        </row>
        <row r="426">
          <cell r="C426" t="str">
            <v>8770007496</v>
          </cell>
          <cell r="F426" t="str">
            <v>Nguyễn Tư Hoàng Khải</v>
          </cell>
          <cell r="N426">
            <v>36848</v>
          </cell>
          <cell r="Q426" t="str">
            <v>Nam</v>
          </cell>
          <cell r="S426" t="str">
            <v>VN</v>
          </cell>
          <cell r="AA426">
            <v>45194</v>
          </cell>
          <cell r="AL426" t="str">
            <v>Thành phố Hà Nội</v>
          </cell>
        </row>
        <row r="427">
          <cell r="C427" t="str">
            <v>8771988273</v>
          </cell>
          <cell r="F427" t="str">
            <v>Lê Nguyễn Trang Linh</v>
          </cell>
          <cell r="N427">
            <v>37768</v>
          </cell>
          <cell r="Q427" t="str">
            <v>Nữ</v>
          </cell>
          <cell r="S427" t="str">
            <v>VN</v>
          </cell>
          <cell r="AA427">
            <v>45850</v>
          </cell>
          <cell r="AL427" t="str">
            <v>Thành phố Hồ Chí Minh</v>
          </cell>
        </row>
        <row r="428">
          <cell r="C428" t="str">
            <v>8778511169</v>
          </cell>
          <cell r="F428" t="str">
            <v>Phan Đức Nhật</v>
          </cell>
          <cell r="N428">
            <v>37272</v>
          </cell>
          <cell r="Q428" t="str">
            <v>Nam</v>
          </cell>
          <cell r="S428" t="str">
            <v>VN</v>
          </cell>
          <cell r="AA428">
            <v>45633</v>
          </cell>
          <cell r="AL428" t="str">
            <v>Thành phố Hồ Chí Minh</v>
          </cell>
        </row>
        <row r="429">
          <cell r="C429" t="str">
            <v>8782056515</v>
          </cell>
          <cell r="F429" t="str">
            <v>Tô Thành Trung</v>
          </cell>
          <cell r="N429">
            <v>37548</v>
          </cell>
          <cell r="Q429" t="str">
            <v>Nam</v>
          </cell>
          <cell r="S429" t="str">
            <v>VN</v>
          </cell>
          <cell r="AA429">
            <v>45934</v>
          </cell>
          <cell r="AL429" t="str">
            <v>Thành phố Hà Nội</v>
          </cell>
        </row>
        <row r="430">
          <cell r="C430" t="str">
            <v>8786509886</v>
          </cell>
          <cell r="F430" t="str">
            <v>Trương Thị Phương Thảo</v>
          </cell>
          <cell r="N430">
            <v>37311</v>
          </cell>
          <cell r="Q430" t="str">
            <v>Nữ</v>
          </cell>
          <cell r="S430" t="str">
            <v>VN</v>
          </cell>
          <cell r="AA430">
            <v>45738</v>
          </cell>
          <cell r="AL430" t="str">
            <v>Thành phố Hồ Chí Minh</v>
          </cell>
        </row>
        <row r="431">
          <cell r="C431" t="str">
            <v>8789294798</v>
          </cell>
          <cell r="F431" t="str">
            <v>Đoàn Nguyên Sơn Tùng</v>
          </cell>
          <cell r="N431">
            <v>37511</v>
          </cell>
          <cell r="Q431" t="str">
            <v>Nam</v>
          </cell>
          <cell r="S431" t="str">
            <v>VN</v>
          </cell>
          <cell r="AA431">
            <v>45185</v>
          </cell>
          <cell r="AL431" t="str">
            <v>Thành phố Hà Nội</v>
          </cell>
        </row>
        <row r="432">
          <cell r="C432" t="str">
            <v>8804821032</v>
          </cell>
          <cell r="F432" t="str">
            <v>Trịnh Minh Trang</v>
          </cell>
          <cell r="N432">
            <v>37915</v>
          </cell>
          <cell r="Q432" t="str">
            <v>Nữ</v>
          </cell>
          <cell r="S432" t="str">
            <v>VN</v>
          </cell>
          <cell r="AA432">
            <v>45502</v>
          </cell>
          <cell r="AL432" t="str">
            <v>Thành phố Hồ Chí Minh</v>
          </cell>
        </row>
        <row r="433">
          <cell r="C433" t="str">
            <v>8807062707</v>
          </cell>
          <cell r="F433" t="str">
            <v>Trương Thị Minh Yến</v>
          </cell>
          <cell r="N433">
            <v>37137</v>
          </cell>
          <cell r="Q433" t="str">
            <v>Nữ</v>
          </cell>
          <cell r="S433" t="str">
            <v>VN</v>
          </cell>
          <cell r="AA433">
            <v>45379</v>
          </cell>
          <cell r="AL433" t="str">
            <v>Thành phố Hồ Chí Minh</v>
          </cell>
        </row>
        <row r="434">
          <cell r="C434" t="str">
            <v>8825436578</v>
          </cell>
          <cell r="F434" t="str">
            <v>Hoàng Thủy Minh Mến</v>
          </cell>
          <cell r="N434">
            <v>37893</v>
          </cell>
          <cell r="Q434" t="str">
            <v>Nữ</v>
          </cell>
          <cell r="S434" t="str">
            <v>VN</v>
          </cell>
          <cell r="AA434">
            <v>45728</v>
          </cell>
          <cell r="AL434" t="str">
            <v>Thành phố Hồ Chí Minh</v>
          </cell>
        </row>
        <row r="435">
          <cell r="C435" t="str">
            <v>8826768456</v>
          </cell>
          <cell r="F435" t="str">
            <v>Dương Nguyễn Gia Vinh</v>
          </cell>
          <cell r="N435">
            <v>37525</v>
          </cell>
          <cell r="Q435" t="str">
            <v>Nam</v>
          </cell>
          <cell r="S435" t="str">
            <v>VN</v>
          </cell>
          <cell r="AA435">
            <v>46053</v>
          </cell>
          <cell r="AL435" t="str">
            <v>Thành phố Hà Nội</v>
          </cell>
        </row>
        <row r="436">
          <cell r="C436" t="str">
            <v>8831836077</v>
          </cell>
          <cell r="F436" t="str">
            <v>Dương Thị Thanh</v>
          </cell>
          <cell r="N436">
            <v>37112</v>
          </cell>
          <cell r="Q436" t="str">
            <v>Nữ</v>
          </cell>
          <cell r="S436" t="str">
            <v>VN</v>
          </cell>
          <cell r="AA436">
            <v>45276</v>
          </cell>
          <cell r="AL436" t="str">
            <v>Thành phố Hà Nội</v>
          </cell>
        </row>
        <row r="437">
          <cell r="C437" t="str">
            <v>8833698288</v>
          </cell>
          <cell r="F437" t="str">
            <v>Phạm Thị Khánh Linh</v>
          </cell>
          <cell r="N437">
            <v>37706</v>
          </cell>
          <cell r="Q437" t="str">
            <v>Nữ</v>
          </cell>
          <cell r="S437" t="str">
            <v>VN</v>
          </cell>
          <cell r="AA437">
            <v>45689</v>
          </cell>
          <cell r="AL437" t="str">
            <v>Thành phố Hà Nội</v>
          </cell>
        </row>
        <row r="438">
          <cell r="C438" t="str">
            <v>8835099829</v>
          </cell>
          <cell r="F438" t="str">
            <v>Đỗ Thị Ngọc Tuyền</v>
          </cell>
          <cell r="N438">
            <v>37305</v>
          </cell>
          <cell r="Q438" t="str">
            <v>Nữ</v>
          </cell>
          <cell r="S438" t="str">
            <v>VN</v>
          </cell>
          <cell r="AA438">
            <v>45276</v>
          </cell>
          <cell r="AL438" t="str">
            <v>Thành phố Hồ Chí Minh</v>
          </cell>
        </row>
        <row r="439">
          <cell r="C439" t="str">
            <v>8839815181</v>
          </cell>
          <cell r="F439" t="str">
            <v>Nguyễn Trọng Khang</v>
          </cell>
          <cell r="N439">
            <v>38432</v>
          </cell>
          <cell r="Q439" t="str">
            <v>Nam</v>
          </cell>
          <cell r="S439" t="str">
            <v>VN</v>
          </cell>
          <cell r="AA439">
            <v>46016</v>
          </cell>
          <cell r="AL439" t="str">
            <v>Thành phố Hà Nội</v>
          </cell>
        </row>
        <row r="440">
          <cell r="C440" t="str">
            <v>8839880504</v>
          </cell>
          <cell r="F440" t="str">
            <v>Huỳnh Hồng Hương</v>
          </cell>
          <cell r="N440">
            <v>37602</v>
          </cell>
          <cell r="Q440" t="str">
            <v>Nữ</v>
          </cell>
          <cell r="S440" t="str">
            <v>VN</v>
          </cell>
          <cell r="AA440">
            <v>45783</v>
          </cell>
          <cell r="AL440" t="str">
            <v>Thành phố Hồ Chí Minh</v>
          </cell>
        </row>
        <row r="441">
          <cell r="C441" t="str">
            <v>8842331656</v>
          </cell>
          <cell r="F441" t="str">
            <v>Trần Thị Trà Giang</v>
          </cell>
          <cell r="N441">
            <v>36776</v>
          </cell>
          <cell r="Q441" t="str">
            <v>Nữ</v>
          </cell>
          <cell r="S441" t="str">
            <v>VN</v>
          </cell>
          <cell r="AA441">
            <v>45422</v>
          </cell>
          <cell r="AL441" t="str">
            <v>Thành phố Hà Nội</v>
          </cell>
        </row>
        <row r="442">
          <cell r="C442" t="str">
            <v>8842876297</v>
          </cell>
          <cell r="F442" t="str">
            <v>Nguyễn Ngọc Trâm</v>
          </cell>
          <cell r="N442">
            <v>36892</v>
          </cell>
          <cell r="Q442" t="str">
            <v>Nữ</v>
          </cell>
          <cell r="S442" t="str">
            <v>VN</v>
          </cell>
          <cell r="AA442">
            <v>45748</v>
          </cell>
          <cell r="AL442" t="str">
            <v>Thành phố Hồ Chí Minh</v>
          </cell>
        </row>
        <row r="443">
          <cell r="C443" t="str">
            <v>8843142404</v>
          </cell>
          <cell r="F443" t="str">
            <v>Bùi Nguyên Bảo Ngân</v>
          </cell>
          <cell r="N443">
            <v>38225</v>
          </cell>
          <cell r="Q443" t="str">
            <v>Nữ</v>
          </cell>
          <cell r="S443" t="str">
            <v>VN</v>
          </cell>
          <cell r="AA443">
            <v>45938</v>
          </cell>
          <cell r="AL443" t="str">
            <v>Thành phố Hồ Chí Minh</v>
          </cell>
        </row>
        <row r="444">
          <cell r="C444" t="str">
            <v>8843805154</v>
          </cell>
          <cell r="F444" t="str">
            <v>Nguyễn Thị Xuân Dung</v>
          </cell>
          <cell r="N444">
            <v>36941</v>
          </cell>
          <cell r="Q444" t="str">
            <v>Nữ</v>
          </cell>
          <cell r="S444" t="str">
            <v>VN</v>
          </cell>
          <cell r="AA444">
            <v>45281</v>
          </cell>
          <cell r="AL444" t="str">
            <v>Thành phố Hồ Chí Minh</v>
          </cell>
        </row>
        <row r="445">
          <cell r="C445" t="str">
            <v>8843805179</v>
          </cell>
          <cell r="F445" t="str">
            <v>Đào Thị Hồng Ngọc</v>
          </cell>
          <cell r="N445">
            <v>37220</v>
          </cell>
          <cell r="Q445" t="str">
            <v>Nữ</v>
          </cell>
          <cell r="S445" t="str">
            <v>VN</v>
          </cell>
          <cell r="AA445">
            <v>45407</v>
          </cell>
          <cell r="AL445" t="str">
            <v>Thành phố Hồ Chí Minh</v>
          </cell>
        </row>
        <row r="446">
          <cell r="C446" t="str">
            <v>8843805274</v>
          </cell>
          <cell r="F446" t="str">
            <v>Trần Nhật Hoàng</v>
          </cell>
          <cell r="N446">
            <v>37130</v>
          </cell>
          <cell r="Q446" t="str">
            <v>Nam</v>
          </cell>
          <cell r="S446" t="str">
            <v>VN</v>
          </cell>
          <cell r="AA446">
            <v>45231</v>
          </cell>
          <cell r="AL446" t="str">
            <v>Thành phố Hồ Chí Minh</v>
          </cell>
        </row>
        <row r="447">
          <cell r="C447" t="str">
            <v>8843805281</v>
          </cell>
          <cell r="F447" t="str">
            <v>Phạm Trâm Anh</v>
          </cell>
          <cell r="N447">
            <v>37091</v>
          </cell>
          <cell r="Q447" t="str">
            <v>Nữ</v>
          </cell>
          <cell r="S447" t="str">
            <v>VN</v>
          </cell>
          <cell r="AA447">
            <v>45318</v>
          </cell>
          <cell r="AL447" t="str">
            <v>Thành phố Hồ Chí Minh</v>
          </cell>
        </row>
        <row r="448">
          <cell r="C448" t="str">
            <v>8847901469</v>
          </cell>
          <cell r="F448" t="str">
            <v>Hoàng Thu Thuỷ</v>
          </cell>
          <cell r="N448">
            <v>35695</v>
          </cell>
          <cell r="Q448" t="str">
            <v>Nữ</v>
          </cell>
          <cell r="S448" t="str">
            <v>VN</v>
          </cell>
          <cell r="AA448">
            <v>45544</v>
          </cell>
          <cell r="AL448" t="str">
            <v>Thành phố Hà Nội</v>
          </cell>
        </row>
        <row r="449">
          <cell r="C449" t="str">
            <v>8850231486</v>
          </cell>
          <cell r="F449" t="str">
            <v>Hoàng Phi Hùng</v>
          </cell>
          <cell r="N449">
            <v>38237</v>
          </cell>
          <cell r="Q449" t="str">
            <v>Nam</v>
          </cell>
          <cell r="S449" t="str">
            <v>VN</v>
          </cell>
          <cell r="AA449">
            <v>45700</v>
          </cell>
          <cell r="AL449" t="str">
            <v>Thành phố Hà Nội</v>
          </cell>
        </row>
        <row r="450">
          <cell r="C450" t="str">
            <v>8850811060</v>
          </cell>
          <cell r="F450" t="str">
            <v>Ngô Tố Uyên</v>
          </cell>
          <cell r="N450">
            <v>37956</v>
          </cell>
          <cell r="Q450" t="str">
            <v>Nữ</v>
          </cell>
          <cell r="S450" t="str">
            <v>VN</v>
          </cell>
          <cell r="AA450">
            <v>45831</v>
          </cell>
          <cell r="AL450" t="str">
            <v>Thành phố Hồ Chí Minh</v>
          </cell>
        </row>
        <row r="451">
          <cell r="C451" t="str">
            <v>8858636276</v>
          </cell>
          <cell r="F451" t="str">
            <v>Huỳnh Thị Hương Trầm</v>
          </cell>
          <cell r="N451">
            <v>37030</v>
          </cell>
          <cell r="Q451" t="str">
            <v>Nữ</v>
          </cell>
          <cell r="S451" t="str">
            <v>VN</v>
          </cell>
          <cell r="AA451">
            <v>45449</v>
          </cell>
          <cell r="AL451" t="str">
            <v>Thành phố Hồ Chí Minh</v>
          </cell>
        </row>
        <row r="452">
          <cell r="C452" t="str">
            <v>8859064247</v>
          </cell>
          <cell r="F452" t="str">
            <v>Nguyễn Diệu Diệu Ngọc</v>
          </cell>
          <cell r="N452">
            <v>37704</v>
          </cell>
          <cell r="Q452" t="str">
            <v>Nữ</v>
          </cell>
          <cell r="S452" t="str">
            <v>VN</v>
          </cell>
          <cell r="AA452">
            <v>45758</v>
          </cell>
          <cell r="AL452" t="str">
            <v>Thành phố Hà Nội</v>
          </cell>
        </row>
        <row r="453">
          <cell r="C453" t="str">
            <v>8860340879</v>
          </cell>
          <cell r="F453" t="str">
            <v>Nguyễn Xuân Hùng</v>
          </cell>
          <cell r="N453">
            <v>37220</v>
          </cell>
          <cell r="Q453" t="str">
            <v>Nam</v>
          </cell>
          <cell r="S453" t="str">
            <v>VN</v>
          </cell>
          <cell r="AA453">
            <v>45372</v>
          </cell>
          <cell r="AL453" t="str">
            <v>Thành phố Hà Nội</v>
          </cell>
        </row>
        <row r="454">
          <cell r="C454" t="str">
            <v>8860340942</v>
          </cell>
          <cell r="F454" t="str">
            <v>Trần Hương Giang</v>
          </cell>
          <cell r="N454">
            <v>37042</v>
          </cell>
          <cell r="Q454" t="str">
            <v>Nữ</v>
          </cell>
          <cell r="S454" t="str">
            <v>VN</v>
          </cell>
          <cell r="AA454">
            <v>45444</v>
          </cell>
          <cell r="AL454" t="str">
            <v>Thành phố Hà Nội</v>
          </cell>
        </row>
        <row r="455">
          <cell r="C455" t="str">
            <v>8862580185</v>
          </cell>
          <cell r="F455" t="str">
            <v>Lê Thị Tố Uyên</v>
          </cell>
          <cell r="N455">
            <v>36809</v>
          </cell>
          <cell r="Q455" t="str">
            <v>Nữ</v>
          </cell>
          <cell r="S455" t="str">
            <v>VN</v>
          </cell>
          <cell r="AA455">
            <v>45453</v>
          </cell>
          <cell r="AL455" t="str">
            <v>Thành phố Hà Nội</v>
          </cell>
        </row>
        <row r="456">
          <cell r="C456" t="str">
            <v>8866622622</v>
          </cell>
          <cell r="F456" t="str">
            <v>Vũ Thị Thu Hiền</v>
          </cell>
          <cell r="N456">
            <v>37460</v>
          </cell>
          <cell r="Q456" t="str">
            <v>Nữ</v>
          </cell>
          <cell r="S456" t="str">
            <v>VN</v>
          </cell>
          <cell r="AA456">
            <v>45397</v>
          </cell>
          <cell r="AL456" t="str">
            <v>Thành phố Hà Nội</v>
          </cell>
        </row>
        <row r="457">
          <cell r="C457" t="str">
            <v>8867125944</v>
          </cell>
          <cell r="F457" t="str">
            <v>Đỗ Minh Hiếu</v>
          </cell>
          <cell r="N457">
            <v>37591</v>
          </cell>
          <cell r="Q457" t="str">
            <v>Nam</v>
          </cell>
          <cell r="S457" t="str">
            <v>VN</v>
          </cell>
          <cell r="AA457">
            <v>45713</v>
          </cell>
          <cell r="AL457" t="str">
            <v>Thành phố Hà Nội</v>
          </cell>
        </row>
        <row r="458">
          <cell r="C458" t="str">
            <v>8882333378</v>
          </cell>
          <cell r="F458" t="str">
            <v>Dương Lê Minh</v>
          </cell>
          <cell r="N458">
            <v>44812</v>
          </cell>
          <cell r="Q458" t="str">
            <v>Nam</v>
          </cell>
          <cell r="S458" t="str">
            <v>VN</v>
          </cell>
          <cell r="AA458">
            <v>45514</v>
          </cell>
          <cell r="AL458" t="str">
            <v>Thành phố Hà Nội</v>
          </cell>
        </row>
        <row r="459">
          <cell r="C459" t="str">
            <v>8883271491</v>
          </cell>
          <cell r="F459" t="str">
            <v>Nguyễn Thuý Quỳnh</v>
          </cell>
          <cell r="N459">
            <v>37501</v>
          </cell>
          <cell r="Q459" t="str">
            <v>Nữ</v>
          </cell>
          <cell r="S459" t="str">
            <v>VN</v>
          </cell>
          <cell r="AA459">
            <v>45505</v>
          </cell>
          <cell r="AL459" t="str">
            <v>Thành phố Hà Nội</v>
          </cell>
        </row>
        <row r="460">
          <cell r="C460" t="str">
            <v>8883271526</v>
          </cell>
          <cell r="F460" t="str">
            <v>Nguyễn Bình Dương</v>
          </cell>
          <cell r="N460">
            <v>37711</v>
          </cell>
          <cell r="Q460" t="str">
            <v>Nam</v>
          </cell>
          <cell r="S460" t="str">
            <v>VN</v>
          </cell>
          <cell r="AA460">
            <v>45542</v>
          </cell>
          <cell r="AL460" t="str">
            <v>Thành phố Hà Nội</v>
          </cell>
        </row>
        <row r="461">
          <cell r="C461" t="str">
            <v>8886676094</v>
          </cell>
          <cell r="F461" t="str">
            <v>Nguyễn Khánh Linh</v>
          </cell>
          <cell r="N461">
            <v>37894</v>
          </cell>
          <cell r="Q461" t="str">
            <v>Nữ</v>
          </cell>
          <cell r="S461" t="str">
            <v>VN</v>
          </cell>
          <cell r="AA461">
            <v>45646</v>
          </cell>
          <cell r="AL461" t="str">
            <v>Thành phố Hồ Chí Minh</v>
          </cell>
        </row>
        <row r="462">
          <cell r="C462" t="str">
            <v>8896058643</v>
          </cell>
          <cell r="F462" t="str">
            <v>Trần Thị Lệ Quyên</v>
          </cell>
          <cell r="N462">
            <v>37158</v>
          </cell>
          <cell r="Q462" t="str">
            <v>Nữ</v>
          </cell>
          <cell r="S462" t="str">
            <v>VN</v>
          </cell>
          <cell r="AA462">
            <v>45717</v>
          </cell>
          <cell r="AL462" t="str">
            <v>Thành phố Hồ Chí Minh</v>
          </cell>
        </row>
        <row r="463">
          <cell r="C463" t="str">
            <v>8898094661</v>
          </cell>
          <cell r="F463" t="str">
            <v>Trịnh Hoàng Tiến</v>
          </cell>
          <cell r="N463">
            <v>37463</v>
          </cell>
          <cell r="Q463" t="str">
            <v>Nam</v>
          </cell>
          <cell r="S463" t="str">
            <v>VN</v>
          </cell>
          <cell r="AA463">
            <v>45535</v>
          </cell>
          <cell r="AL463" t="str">
            <v>Thành phố Hà Nội</v>
          </cell>
        </row>
        <row r="464">
          <cell r="C464" t="str">
            <v>8898094693</v>
          </cell>
          <cell r="F464" t="str">
            <v>Nguyễn Hương Bảo Châu</v>
          </cell>
          <cell r="N464">
            <v>37395</v>
          </cell>
          <cell r="Q464" t="str">
            <v>Nữ</v>
          </cell>
          <cell r="S464" t="str">
            <v>VN</v>
          </cell>
          <cell r="AA464">
            <v>45702</v>
          </cell>
          <cell r="AL464" t="str">
            <v>Thành phố Hà Nội</v>
          </cell>
        </row>
        <row r="465">
          <cell r="C465" t="str">
            <v>8904598878</v>
          </cell>
          <cell r="F465" t="str">
            <v>Phạm Khôi Nguyên</v>
          </cell>
          <cell r="N465">
            <v>37381</v>
          </cell>
          <cell r="Q465" t="str">
            <v>Nam</v>
          </cell>
          <cell r="S465" t="str">
            <v>VN</v>
          </cell>
          <cell r="AA465">
            <v>45750</v>
          </cell>
          <cell r="AL465" t="str">
            <v>Thành phố Hà Nội</v>
          </cell>
        </row>
        <row r="466">
          <cell r="C466" t="str">
            <v>8926919652</v>
          </cell>
          <cell r="F466" t="str">
            <v>Nguyễn Đức Toàn</v>
          </cell>
          <cell r="N466">
            <v>37512</v>
          </cell>
          <cell r="Q466" t="str">
            <v>Nam</v>
          </cell>
          <cell r="S466" t="str">
            <v>VN</v>
          </cell>
          <cell r="AA466">
            <v>46010</v>
          </cell>
          <cell r="AL466" t="str">
            <v>Thành phố Hà Nội</v>
          </cell>
        </row>
        <row r="467">
          <cell r="C467" t="str">
            <v>8927719416</v>
          </cell>
          <cell r="F467" t="str">
            <v>Lê Mai Anh Thư</v>
          </cell>
          <cell r="N467">
            <v>37493</v>
          </cell>
          <cell r="Q467" t="str">
            <v>Nữ</v>
          </cell>
          <cell r="S467" t="str">
            <v>VN</v>
          </cell>
          <cell r="AA467">
            <v>45864</v>
          </cell>
          <cell r="AL467" t="str">
            <v>Thành phố Hồ Chí Minh</v>
          </cell>
        </row>
        <row r="468">
          <cell r="C468" t="str">
            <v>8931965936</v>
          </cell>
          <cell r="F468" t="str">
            <v>Trần Tú Anh</v>
          </cell>
          <cell r="N468">
            <v>37424</v>
          </cell>
          <cell r="Q468" t="str">
            <v>Nữ</v>
          </cell>
          <cell r="S468" t="str">
            <v>VN</v>
          </cell>
          <cell r="AA468">
            <v>45892</v>
          </cell>
          <cell r="AL468" t="str">
            <v>Thành phố Hồ Chí Minh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2"/>
  <sheetViews>
    <sheetView tabSelected="1" zoomScale="85" zoomScaleNormal="85" workbookViewId="0">
      <pane xSplit="4" ySplit="1" topLeftCell="H2" activePane="bottomRight" state="frozen"/>
      <selection pane="topRight" activeCell="E1" sqref="E1"/>
      <selection pane="bottomLeft" activeCell="A2" sqref="A2"/>
      <selection pane="bottomRight" activeCell="P6" sqref="P6"/>
    </sheetView>
  </sheetViews>
  <sheetFormatPr defaultRowHeight="15" x14ac:dyDescent="0.25"/>
  <cols>
    <col min="1" max="1" width="7.42578125" style="7" customWidth="1"/>
    <col min="2" max="3" width="22" style="8" customWidth="1"/>
    <col min="4" max="4" width="30.140625" style="8" customWidth="1"/>
    <col min="5" max="5" width="26.28515625" style="8" customWidth="1"/>
    <col min="6" max="7" width="22" style="8" customWidth="1"/>
    <col min="8" max="8" width="25" style="8" customWidth="1"/>
    <col min="9" max="9" width="22" style="9" customWidth="1"/>
    <col min="10" max="10" width="13.42578125" style="8" bestFit="1" customWidth="1"/>
    <col min="11" max="11" width="17.7109375" style="14" bestFit="1" customWidth="1"/>
    <col min="12" max="13" width="14.28515625" style="14" bestFit="1" customWidth="1"/>
    <col min="14" max="14" width="16.7109375" style="14" bestFit="1" customWidth="1"/>
    <col min="15" max="16" width="26" style="5" customWidth="1"/>
    <col min="17" max="18" width="9.140625" style="5"/>
    <col min="19" max="19" width="9.140625" style="6"/>
    <col min="20" max="20" width="14.140625" bestFit="1" customWidth="1"/>
    <col min="24" max="24" width="13.42578125" style="16" bestFit="1" customWidth="1"/>
  </cols>
  <sheetData>
    <row r="1" spans="1:28" s="4" customFormat="1" ht="61.5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639</v>
      </c>
      <c r="G1" s="11" t="s">
        <v>5</v>
      </c>
      <c r="H1" s="11" t="s">
        <v>6</v>
      </c>
      <c r="I1" s="11" t="s">
        <v>7</v>
      </c>
      <c r="J1" s="11" t="s">
        <v>640</v>
      </c>
      <c r="K1" s="12" t="s">
        <v>641</v>
      </c>
      <c r="L1" s="12" t="s">
        <v>634</v>
      </c>
      <c r="M1" s="12" t="s">
        <v>642</v>
      </c>
      <c r="N1" s="12" t="s">
        <v>643</v>
      </c>
      <c r="O1" s="11" t="s">
        <v>635</v>
      </c>
      <c r="P1" s="11" t="s">
        <v>644</v>
      </c>
      <c r="Q1" s="11" t="s">
        <v>645</v>
      </c>
      <c r="R1" s="11" t="s">
        <v>646</v>
      </c>
      <c r="S1" s="11" t="s">
        <v>647</v>
      </c>
      <c r="T1" s="11" t="s">
        <v>636</v>
      </c>
      <c r="U1" s="11" t="s">
        <v>637</v>
      </c>
      <c r="V1" s="11" t="s">
        <v>638</v>
      </c>
      <c r="W1" s="11" t="s">
        <v>648</v>
      </c>
      <c r="X1" s="11" t="s">
        <v>633</v>
      </c>
      <c r="Y1" s="11" t="s">
        <v>649</v>
      </c>
      <c r="Z1" s="11" t="s">
        <v>650</v>
      </c>
      <c r="AA1" s="11" t="s">
        <v>651</v>
      </c>
      <c r="AB1" s="11" t="s">
        <v>652</v>
      </c>
    </row>
    <row r="2" spans="1:28" ht="25.5" customHeight="1" x14ac:dyDescent="0.25">
      <c r="A2" s="1">
        <v>121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11</v>
      </c>
      <c r="G2" s="2" t="s">
        <v>12</v>
      </c>
      <c r="H2" s="2" t="s">
        <v>13</v>
      </c>
      <c r="I2" s="1" t="s">
        <v>14</v>
      </c>
      <c r="J2" s="2" t="s">
        <v>15</v>
      </c>
      <c r="K2" s="13" t="str" cm="1">
        <f t="array" ref="K2">IFERROR(
_xlfn.XLOOKUP(
1,
(TRIM(CLEAN(SUBSTITUTE([1]Main!$F$2:$F$5000,CHAR(160)," ")))=
TRIM(CLEAN(SUBSTITUTE($B2,CHAR(160)," "))))
*
(--TEXT([1]Main!$N$2:$N$5000,"dd/mm/yyyy")=
--TEXT($C2,"dd/mm/yyyy")),
[1]Main!$C$2:$C$5000
),
_xlfn.XLOOKUP(
1,
(TRIM(CLEAN(SUBSTITUTE([2]Main!$F$2:$F$5000,CHAR(160)," ")))=
TRIM(CLEAN(SUBSTITUTE($B2,CHAR(160)," "))))
*
(--TEXT([2]Main!$N$2:$N$5000,"dd/mm/yyyy")=
--TEXT($C2,"dd/mm/yyyy")),
[2]Main!$C$2:$C$5000,
"Không tìm thấy"
)
)</f>
        <v>001082036743</v>
      </c>
      <c r="L2" s="13" t="str" cm="1">
        <f t="array" ref="L2">IFERROR(
_xlfn.XLOOKUP(
1,
(TRIM(CLEAN(SUBSTITUTE([1]Main!$F$2:$F$5000,CHAR(160)," ")))=
TRIM(CLEAN(SUBSTITUTE($B2,CHAR(160)," "))))
*
(--TEXT([1]Main!$N$2:$N$5000,"dd/mm/yyyy")=
--TEXT($C2,"dd/mm/yyyy")),
[1]Main!$Q$2:$Q$5000
),
_xlfn.XLOOKUP(
1,
(TRIM(CLEAN(SUBSTITUTE([2]Main!$F$2:$F$5000,CHAR(160)," ")))=
TRIM(CLEAN(SUBSTITUTE($B2,CHAR(160)," "))))
*
(--TEXT([2]Main!$N$2:$N$5000,"dd/mm/yyyy")=
--TEXT($C2,"dd/mm/yyyy")),
[2]Main!$Q$2:$Q$5000,
"Không tìm thấy"
)
)</f>
        <v>Nam</v>
      </c>
      <c r="M2" s="13" t="str" cm="1">
        <f t="array" ref="M2">IFERROR(
_xlfn.XLOOKUP(
1,
(TRIM(CLEAN(SUBSTITUTE([1]Main!$F$2:$F$5000,CHAR(160)," ")))=
TRIM(CLEAN(SUBSTITUTE($B2,CHAR(160)," "))))
*
(--TEXT([1]Main!$N$2:$N$5000,"dd/mm/yyyy")=
--TEXT($C2,"dd/mm/yyyy")),
[1]Main!$S$2:$S$5000
),
_xlfn.XLOOKUP(
1,
(TRIM(CLEAN(SUBSTITUTE([2]Main!$F$2:$F$5000,CHAR(160)," ")))=
TRIM(CLEAN(SUBSTITUTE($B2,CHAR(160)," "))))
*
(--TEXT([2]Main!$N$2:$N$5000,"dd/mm/yyyy")=
--TEXT($C2,"dd/mm/yyyy")),
[2]Main!$S$2:$S$5000,
"Không tìm thấy"
)
)</f>
        <v>VN</v>
      </c>
      <c r="N2" s="13" t="str" cm="1">
        <f t="array" ref="N2">IFERROR(
_xlfn.XLOOKUP(
1,
(TRIM(CLEAN(SUBSTITUTE([1]Main!$F$2:$F$5000,CHAR(160)," ")))=
TRIM(CLEAN(SUBSTITUTE($B2,CHAR(160)," "))))
*
(--TEXT([1]Main!$N$2:$N$5000,"dd/mm/yyyy")=
--TEXT($C2,"dd/mm/yyyy")),
[1]Main!$AL$2:$AL$5000
),
_xlfn.XLOOKUP(
1,
(TRIM(CLEAN(SUBSTITUTE([2]Main!$F$2:$F$5000,CHAR(160)," ")))=
TRIM(CLEAN(SUBSTITUTE($B2,CHAR(160)," "))))
*
(--TEXT([2]Main!$N$2:$N$5000,"dd/mm/yyyy")=
--TEXT($C2,"dd/mm/yyyy")),
[2]Main!$AL$2:$AL$5000,
"Không tìm thấy"
)
)</f>
        <v>Thành phố Hà Nội</v>
      </c>
      <c r="O2" s="10"/>
      <c r="P2" s="10" t="s">
        <v>655</v>
      </c>
      <c r="Q2" s="10"/>
      <c r="R2" s="10"/>
      <c r="S2" s="10"/>
      <c r="T2" s="3" t="s">
        <v>653</v>
      </c>
      <c r="U2" s="3"/>
      <c r="V2" s="3"/>
      <c r="W2" s="3" t="str">
        <f>IF(
    COUNTIFS(
        [1]Main!$F:$F,$B2,
        [1]Main!$N:$N,$C2
    )&gt;0,
    "Active",
    IF(
        COUNTIFS(
            [2]Main!$F:$F,$B2,
            [2]Main!$N:$N,$C2
        )&gt;0,
        "Inactive",
        "Không tìm thấy"
    )
)</f>
        <v>Active</v>
      </c>
      <c r="X2" s="15" t="str" cm="1">
        <f t="array" ref="X2">IF(
    ISNUMBER(
        _xlfn.XLOOKUP(
            1,
            (TRIM(CLEAN(SUBSTITUTE([1]Main!$F$2:$F$5000,CHAR(160)," ")))=
            TRIM(CLEAN(SUBSTITUTE($B2,CHAR(160)," "))))
            *
            (--TEXT([1]Main!$N$2:$N$5000,"dd/mm/yyyy")=
            --TEXT($C2,"dd/mm/yyyy")),
            [1]Main!$F$2:$F$5000,
            ""
        )
    ),
    "",
    IFERROR(
        _xlfn.XLOOKUP(
            1,
            (TRIM(CLEAN(SUBSTITUTE([2]Main!$F$2:$F$5000,CHAR(160)," ")))=
            TRIM(CLEAN(SUBSTITUTE($B2,CHAR(160)," "))))
            *
            (--TEXT([2]Main!$N$2:$N$5000,"dd/mm/yyyy")=
            --TEXT($C2,"dd/mm/yyyy")),
            [2]Main!$AA$2:$AA$5000,
            ""
        ),
        ""
    )
)</f>
        <v/>
      </c>
      <c r="Y2" s="3"/>
      <c r="Z2" s="3"/>
      <c r="AA2" s="3"/>
      <c r="AB2" s="3"/>
    </row>
    <row r="3" spans="1:28" ht="38.25" customHeight="1" x14ac:dyDescent="0.25">
      <c r="A3" s="1">
        <v>2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1" t="s">
        <v>22</v>
      </c>
      <c r="I3" s="1" t="s">
        <v>14</v>
      </c>
      <c r="J3" s="2" t="s">
        <v>15</v>
      </c>
      <c r="K3" s="13" t="str" cm="1">
        <f t="array" ref="K3">IFERROR(
_xlfn.XLOOKUP(
1,
(TRIM(CLEAN(SUBSTITUTE([1]Main!$F$2:$F$5000,CHAR(160)," ")))=
TRIM(CLEAN(SUBSTITUTE($B3,CHAR(160)," "))))
*
(--TEXT([1]Main!$N$2:$N$5000,"dd/mm/yyyy")=
--TEXT($C3,"dd/mm/yyyy")),
[1]Main!$C$2:$C$5000
),
_xlfn.XLOOKUP(
1,
(TRIM(CLEAN(SUBSTITUTE([2]Main!$F$2:$F$5000,CHAR(160)," ")))=
TRIM(CLEAN(SUBSTITUTE($B3,CHAR(160)," "))))
*
(--TEXT([2]Main!$N$2:$N$5000,"dd/mm/yyyy")=
--TEXT($C3,"dd/mm/yyyy")),
[2]Main!$C$2:$C$5000,
"Không tìm thấy"
)
)</f>
        <v>038303021366</v>
      </c>
      <c r="L3" s="13" t="str" cm="1">
        <f t="array" ref="L3">IFERROR(
_xlfn.XLOOKUP(
1,
(TRIM(CLEAN(SUBSTITUTE([1]Main!$F$2:$F$5000,CHAR(160)," ")))=
TRIM(CLEAN(SUBSTITUTE($B3,CHAR(160)," "))))
*
(--TEXT([1]Main!$N$2:$N$5000,"dd/mm/yyyy")=
--TEXT($C3,"dd/mm/yyyy")),
[1]Main!$Q$2:$Q$5000
),
_xlfn.XLOOKUP(
1,
(TRIM(CLEAN(SUBSTITUTE([2]Main!$F$2:$F$5000,CHAR(160)," ")))=
TRIM(CLEAN(SUBSTITUTE($B3,CHAR(160)," "))))
*
(--TEXT([2]Main!$N$2:$N$5000,"dd/mm/yyyy")=
--TEXT($C3,"dd/mm/yyyy")),
[2]Main!$Q$2:$Q$5000,
"Không tìm thấy"
)
)</f>
        <v>Nữ</v>
      </c>
      <c r="M3" s="13" t="str" cm="1">
        <f t="array" ref="M3">IFERROR(
_xlfn.XLOOKUP(
1,
(TRIM(CLEAN(SUBSTITUTE([1]Main!$F$2:$F$5000,CHAR(160)," ")))=
TRIM(CLEAN(SUBSTITUTE($B3,CHAR(160)," "))))
*
(--TEXT([1]Main!$N$2:$N$5000,"dd/mm/yyyy")=
--TEXT($C3,"dd/mm/yyyy")),
[1]Main!$S$2:$S$5000
),
_xlfn.XLOOKUP(
1,
(TRIM(CLEAN(SUBSTITUTE([2]Main!$F$2:$F$5000,CHAR(160)," ")))=
TRIM(CLEAN(SUBSTITUTE($B3,CHAR(160)," "))))
*
(--TEXT([2]Main!$N$2:$N$5000,"dd/mm/yyyy")=
--TEXT($C3,"dd/mm/yyyy")),
[2]Main!$S$2:$S$5000,
"Không tìm thấy"
)
)</f>
        <v>VN</v>
      </c>
      <c r="N3" s="13" t="str" cm="1">
        <f t="array" ref="N3">IFERROR(
_xlfn.XLOOKUP(
1,
(TRIM(CLEAN(SUBSTITUTE([1]Main!$F$2:$F$5000,CHAR(160)," ")))=
TRIM(CLEAN(SUBSTITUTE($B3,CHAR(160)," "))))
*
(--TEXT([1]Main!$N$2:$N$5000,"dd/mm/yyyy")=
--TEXT($C3,"dd/mm/yyyy")),
[1]Main!$AL$2:$AL$5000
),
_xlfn.XLOOKUP(
1,
(TRIM(CLEAN(SUBSTITUTE([2]Main!$F$2:$F$5000,CHAR(160)," ")))=
TRIM(CLEAN(SUBSTITUTE($B3,CHAR(160)," "))))
*
(--TEXT([2]Main!$N$2:$N$5000,"dd/mm/yyyy")=
--TEXT($C3,"dd/mm/yyyy")),
[2]Main!$AL$2:$AL$5000,
"Không tìm thấy"
)
)</f>
        <v>Thành phố Hà Nội</v>
      </c>
      <c r="O3" s="10"/>
      <c r="P3" s="10" t="s">
        <v>655</v>
      </c>
      <c r="Q3" s="10"/>
      <c r="R3" s="10"/>
      <c r="S3" s="10"/>
      <c r="T3" s="3" t="s">
        <v>653</v>
      </c>
      <c r="U3" s="3"/>
      <c r="V3" s="3"/>
      <c r="W3" s="3" t="str">
        <f>IF(
    COUNTIFS(
        [1]Main!$F:$F,$B3,
        [1]Main!$N:$N,$C3
    )&gt;0,
    "Active",
    IF(
        COUNTIFS(
            [2]Main!$F:$F,$B3,
            [2]Main!$N:$N,$C3
        )&gt;0,
        "Inactive",
        "Không tìm thấy"
    )
)</f>
        <v>Inactive</v>
      </c>
      <c r="X3" s="15" cm="1">
        <f t="array" ref="X3">IFERROR(
_xlfn.XLOOKUP(
1,
(TRIM(CLEAN(SUBSTITUTE([2]Main!$F$2:$F$5000,CHAR(160)," ")))=
TRIM(CLEAN(SUBSTITUTE($B3,CHAR(160)," "))))
*
(--TEXT([2]Main!$N$2:$N$5000,"dd/mm/yyyy")=
--TEXT($C3,"dd/mm/yyyy")),
[2]Main!$AA$2:$AA$5000,
""
),
"")</f>
        <v>46167</v>
      </c>
      <c r="Y3" s="3"/>
      <c r="Z3" s="3"/>
      <c r="AA3" s="3"/>
      <c r="AB3" s="3"/>
    </row>
    <row r="4" spans="1:28" ht="38.25" customHeight="1" x14ac:dyDescent="0.25">
      <c r="A4" s="1">
        <v>3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1" t="s">
        <v>29</v>
      </c>
      <c r="I4" s="1" t="s">
        <v>14</v>
      </c>
      <c r="J4" s="2" t="s">
        <v>30</v>
      </c>
      <c r="K4" s="13" t="str" cm="1">
        <f t="array" ref="K4">IFERROR(
_xlfn.XLOOKUP(
1,
(TRIM(CLEAN(SUBSTITUTE([1]Main!$F$2:$F$5000,CHAR(160)," ")))=
TRIM(CLEAN(SUBSTITUTE($B4,CHAR(160)," "))))
*
(--TEXT([1]Main!$N$2:$N$5000,"dd/mm/yyyy")=
--TEXT($C4,"dd/mm/yyyy")),
[1]Main!$C$2:$C$5000
),
_xlfn.XLOOKUP(
1,
(TRIM(CLEAN(SUBSTITUTE([2]Main!$F$2:$F$5000,CHAR(160)," ")))=
TRIM(CLEAN(SUBSTITUTE($B4,CHAR(160)," "))))
*
(--TEXT([2]Main!$N$2:$N$5000,"dd/mm/yyyy")=
--TEXT($C4,"dd/mm/yyyy")),
[2]Main!$C$2:$C$5000,
"Không tìm thấy"
)
)</f>
        <v>001300000032</v>
      </c>
      <c r="L4" s="13" t="str" cm="1">
        <f t="array" ref="L4">IFERROR(
_xlfn.XLOOKUP(
1,
(TRIM(CLEAN(SUBSTITUTE([1]Main!$F$2:$F$5000,CHAR(160)," ")))=
TRIM(CLEAN(SUBSTITUTE($B4,CHAR(160)," "))))
*
(--TEXT([1]Main!$N$2:$N$5000,"dd/mm/yyyy")=
--TEXT($C4,"dd/mm/yyyy")),
[1]Main!$Q$2:$Q$5000
),
_xlfn.XLOOKUP(
1,
(TRIM(CLEAN(SUBSTITUTE([2]Main!$F$2:$F$5000,CHAR(160)," ")))=
TRIM(CLEAN(SUBSTITUTE($B4,CHAR(160)," "))))
*
(--TEXT([2]Main!$N$2:$N$5000,"dd/mm/yyyy")=
--TEXT($C4,"dd/mm/yyyy")),
[2]Main!$Q$2:$Q$5000,
"Không tìm thấy"
)
)</f>
        <v>Nữ</v>
      </c>
      <c r="M4" s="13" t="str" cm="1">
        <f t="array" ref="M4">IFERROR(
_xlfn.XLOOKUP(
1,
(TRIM(CLEAN(SUBSTITUTE([1]Main!$F$2:$F$5000,CHAR(160)," ")))=
TRIM(CLEAN(SUBSTITUTE($B4,CHAR(160)," "))))
*
(--TEXT([1]Main!$N$2:$N$5000,"dd/mm/yyyy")=
--TEXT($C4,"dd/mm/yyyy")),
[1]Main!$S$2:$S$5000
),
_xlfn.XLOOKUP(
1,
(TRIM(CLEAN(SUBSTITUTE([2]Main!$F$2:$F$5000,CHAR(160)," ")))=
TRIM(CLEAN(SUBSTITUTE($B4,CHAR(160)," "))))
*
(--TEXT([2]Main!$N$2:$N$5000,"dd/mm/yyyy")=
--TEXT($C4,"dd/mm/yyyy")),
[2]Main!$S$2:$S$5000,
"Không tìm thấy"
)
)</f>
        <v>VN</v>
      </c>
      <c r="N4" s="13" t="str" cm="1">
        <f t="array" ref="N4">IFERROR(
_xlfn.XLOOKUP(
1,
(TRIM(CLEAN(SUBSTITUTE([1]Main!$F$2:$F$5000,CHAR(160)," ")))=
TRIM(CLEAN(SUBSTITUTE($B4,CHAR(160)," "))))
*
(--TEXT([1]Main!$N$2:$N$5000,"dd/mm/yyyy")=
--TEXT($C4,"dd/mm/yyyy")),
[1]Main!$AL$2:$AL$5000
),
_xlfn.XLOOKUP(
1,
(TRIM(CLEAN(SUBSTITUTE([2]Main!$F$2:$F$5000,CHAR(160)," ")))=
TRIM(CLEAN(SUBSTITUTE($B4,CHAR(160)," "))))
*
(--TEXT([2]Main!$N$2:$N$5000,"dd/mm/yyyy")=
--TEXT($C4,"dd/mm/yyyy")),
[2]Main!$AL$2:$AL$5000,
"Không tìm thấy"
)
)</f>
        <v>Thành phố Hà Nội</v>
      </c>
      <c r="O4" s="10"/>
      <c r="P4" s="10"/>
      <c r="Q4" s="10"/>
      <c r="R4" s="10"/>
      <c r="S4" s="10"/>
      <c r="T4" s="3" t="s">
        <v>653</v>
      </c>
      <c r="U4" s="3"/>
      <c r="V4" s="3"/>
      <c r="W4" s="3" t="str">
        <f>IF(
    COUNTIFS(
        [1]Main!$F:$F,$B4,
        [1]Main!$N:$N,$C4
    )&gt;0,
    "Active",
    IF(
        COUNTIFS(
            [2]Main!$F:$F,$B4,
            [2]Main!$N:$N,$C4
        )&gt;0,
        "Inactive",
        "Không tìm thấy"
    )
)</f>
        <v>Inactive</v>
      </c>
      <c r="X4" s="15" cm="1">
        <f t="array" ref="X4">IFERROR(
_xlfn.XLOOKUP(
1,
(TRIM(CLEAN(SUBSTITUTE([2]Main!$F$2:$F$5000,CHAR(160)," ")))=
TRIM(CLEAN(SUBSTITUTE($B4,CHAR(160)," "))))
*
(--TEXT([2]Main!$N$2:$N$5000,"dd/mm/yyyy")=
--TEXT($C4,"dd/mm/yyyy")),
[2]Main!$AA$2:$AA$5000,
""
),
"")</f>
        <v>45930</v>
      </c>
      <c r="Y4" s="3"/>
      <c r="Z4" s="3"/>
      <c r="AA4" s="3"/>
      <c r="AB4" s="3"/>
    </row>
    <row r="5" spans="1:28" ht="38.25" customHeight="1" x14ac:dyDescent="0.25">
      <c r="A5" s="1">
        <v>4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1" t="s">
        <v>37</v>
      </c>
      <c r="I5" s="1" t="s">
        <v>38</v>
      </c>
      <c r="J5" s="2" t="s">
        <v>39</v>
      </c>
      <c r="K5" s="13" t="str" cm="1">
        <f t="array" ref="K5">IFERROR(
_xlfn.XLOOKUP(
1,
(TRIM(CLEAN(SUBSTITUTE([1]Main!$F$2:$F$5000,CHAR(160)," ")))=
TRIM(CLEAN(SUBSTITUTE($B5,CHAR(160)," "))))
*
(--TEXT([1]Main!$N$2:$N$5000,"dd/mm/yyyy")=
--TEXT($C5,"dd/mm/yyyy")),
[1]Main!$C$2:$C$5000
),
_xlfn.XLOOKUP(
1,
(TRIM(CLEAN(SUBSTITUTE([2]Main!$F$2:$F$5000,CHAR(160)," ")))=
TRIM(CLEAN(SUBSTITUTE($B5,CHAR(160)," "))))
*
(--TEXT([2]Main!$N$2:$N$5000,"dd/mm/yyyy")=
--TEXT($C5,"dd/mm/yyyy")),
[2]Main!$C$2:$C$5000,
"Không tìm thấy"
)
)</f>
        <v>030204008405</v>
      </c>
      <c r="L5" s="13" t="str" cm="1">
        <f t="array" ref="L5">IFERROR(
_xlfn.XLOOKUP(
1,
(TRIM(CLEAN(SUBSTITUTE([1]Main!$F$2:$F$5000,CHAR(160)," ")))=
TRIM(CLEAN(SUBSTITUTE($B5,CHAR(160)," "))))
*
(--TEXT([1]Main!$N$2:$N$5000,"dd/mm/yyyy")=
--TEXT($C5,"dd/mm/yyyy")),
[1]Main!$Q$2:$Q$5000
),
_xlfn.XLOOKUP(
1,
(TRIM(CLEAN(SUBSTITUTE([2]Main!$F$2:$F$5000,CHAR(160)," ")))=
TRIM(CLEAN(SUBSTITUTE($B5,CHAR(160)," "))))
*
(--TEXT([2]Main!$N$2:$N$5000,"dd/mm/yyyy")=
--TEXT($C5,"dd/mm/yyyy")),
[2]Main!$Q$2:$Q$5000,
"Không tìm thấy"
)
)</f>
        <v>Nam</v>
      </c>
      <c r="M5" s="13" t="str" cm="1">
        <f t="array" ref="M5">IFERROR(
_xlfn.XLOOKUP(
1,
(TRIM(CLEAN(SUBSTITUTE([1]Main!$F$2:$F$5000,CHAR(160)," ")))=
TRIM(CLEAN(SUBSTITUTE($B5,CHAR(160)," "))))
*
(--TEXT([1]Main!$N$2:$N$5000,"dd/mm/yyyy")=
--TEXT($C5,"dd/mm/yyyy")),
[1]Main!$S$2:$S$5000
),
_xlfn.XLOOKUP(
1,
(TRIM(CLEAN(SUBSTITUTE([2]Main!$F$2:$F$5000,CHAR(160)," ")))=
TRIM(CLEAN(SUBSTITUTE($B5,CHAR(160)," "))))
*
(--TEXT([2]Main!$N$2:$N$5000,"dd/mm/yyyy")=
--TEXT($C5,"dd/mm/yyyy")),
[2]Main!$S$2:$S$5000,
"Không tìm thấy"
)
)</f>
        <v>VN</v>
      </c>
      <c r="N5" s="13" t="str" cm="1">
        <f t="array" ref="N5">IFERROR(
_xlfn.XLOOKUP(
1,
(TRIM(CLEAN(SUBSTITUTE([1]Main!$F$2:$F$5000,CHAR(160)," ")))=
TRIM(CLEAN(SUBSTITUTE($B5,CHAR(160)," "))))
*
(--TEXT([1]Main!$N$2:$N$5000,"dd/mm/yyyy")=
--TEXT($C5,"dd/mm/yyyy")),
[1]Main!$AL$2:$AL$5000
),
_xlfn.XLOOKUP(
1,
(TRIM(CLEAN(SUBSTITUTE([2]Main!$F$2:$F$5000,CHAR(160)," ")))=
TRIM(CLEAN(SUBSTITUTE($B5,CHAR(160)," "))))
*
(--TEXT([2]Main!$N$2:$N$5000,"dd/mm/yyyy")=
--TEXT($C5,"dd/mm/yyyy")),
[2]Main!$AL$2:$AL$5000,
"Không tìm thấy"
)
)</f>
        <v>Thành phố Hà Nội</v>
      </c>
      <c r="O5" s="10"/>
      <c r="P5" s="10"/>
      <c r="Q5" s="10"/>
      <c r="R5" s="10"/>
      <c r="S5" s="10"/>
      <c r="T5" s="3" t="s">
        <v>653</v>
      </c>
      <c r="U5" s="3"/>
      <c r="V5" s="3"/>
      <c r="W5" s="3" t="str">
        <f>IF(
    COUNTIFS(
        [1]Main!$F:$F,$B5,
        [1]Main!$N:$N,$C5
    )&gt;0,
    "Active",
    IF(
        COUNTIFS(
            [2]Main!$F:$F,$B5,
            [2]Main!$N:$N,$C5
        )&gt;0,
        "Inactive",
        "Không tìm thấy"
    )
)</f>
        <v>Inactive</v>
      </c>
      <c r="X5" s="15" cm="1">
        <f t="array" ref="X5">IFERROR(
_xlfn.XLOOKUP(
1,
(TRIM(CLEAN(SUBSTITUTE([2]Main!$F$2:$F$5000,CHAR(160)," ")))=
TRIM(CLEAN(SUBSTITUTE($B5,CHAR(160)," "))))
*
(--TEXT([2]Main!$N$2:$N$5000,"dd/mm/yyyy")=
--TEXT($C5,"dd/mm/yyyy")),
[2]Main!$AA$2:$AA$5000,
""
),
"")</f>
        <v>46099</v>
      </c>
      <c r="Y5" s="3"/>
      <c r="Z5" s="3"/>
      <c r="AA5" s="3"/>
      <c r="AB5" s="3"/>
    </row>
    <row r="6" spans="1:28" ht="38.25" customHeight="1" x14ac:dyDescent="0.25">
      <c r="A6" s="1">
        <v>5</v>
      </c>
      <c r="B6" s="2" t="s">
        <v>40</v>
      </c>
      <c r="C6" s="2" t="s">
        <v>41</v>
      </c>
      <c r="D6" s="2" t="s">
        <v>42</v>
      </c>
      <c r="E6" s="2" t="s">
        <v>34</v>
      </c>
      <c r="F6" s="2" t="s">
        <v>35</v>
      </c>
      <c r="G6" s="2" t="s">
        <v>36</v>
      </c>
      <c r="H6" s="1" t="s">
        <v>37</v>
      </c>
      <c r="I6" s="1" t="s">
        <v>38</v>
      </c>
      <c r="J6" s="2" t="s">
        <v>39</v>
      </c>
      <c r="K6" s="13" t="str" cm="1">
        <f t="array" ref="K6">IFERROR(
_xlfn.XLOOKUP(
1,
(TRIM(CLEAN(SUBSTITUTE([1]Main!$F$2:$F$5000,CHAR(160)," ")))=
TRIM(CLEAN(SUBSTITUTE($B6,CHAR(160)," "))))
*
(--TEXT([1]Main!$N$2:$N$5000,"dd/mm/yyyy")=
--TEXT($C6,"dd/mm/yyyy")),
[1]Main!$C$2:$C$5000
),
_xlfn.XLOOKUP(
1,
(TRIM(CLEAN(SUBSTITUTE([2]Main!$F$2:$F$5000,CHAR(160)," ")))=
TRIM(CLEAN(SUBSTITUTE($B6,CHAR(160)," "))))
*
(--TEXT([2]Main!$N$2:$N$5000,"dd/mm/yyyy")=
--TEXT($C6,"dd/mm/yyyy")),
[2]Main!$C$2:$C$5000,
"Không tìm thấy"
)
)</f>
        <v>033203006612</v>
      </c>
      <c r="L6" s="13" t="str" cm="1">
        <f t="array" ref="L6">IFERROR(
_xlfn.XLOOKUP(
1,
(TRIM(CLEAN(SUBSTITUTE([1]Main!$F$2:$F$5000,CHAR(160)," ")))=
TRIM(CLEAN(SUBSTITUTE($B6,CHAR(160)," "))))
*
(--TEXT([1]Main!$N$2:$N$5000,"dd/mm/yyyy")=
--TEXT($C6,"dd/mm/yyyy")),
[1]Main!$Q$2:$Q$5000
),
_xlfn.XLOOKUP(
1,
(TRIM(CLEAN(SUBSTITUTE([2]Main!$F$2:$F$5000,CHAR(160)," ")))=
TRIM(CLEAN(SUBSTITUTE($B6,CHAR(160)," "))))
*
(--TEXT([2]Main!$N$2:$N$5000,"dd/mm/yyyy")=
--TEXT($C6,"dd/mm/yyyy")),
[2]Main!$Q$2:$Q$5000,
"Không tìm thấy"
)
)</f>
        <v>Nam</v>
      </c>
      <c r="M6" s="13" t="str" cm="1">
        <f t="array" ref="M6">IFERROR(
_xlfn.XLOOKUP(
1,
(TRIM(CLEAN(SUBSTITUTE([1]Main!$F$2:$F$5000,CHAR(160)," ")))=
TRIM(CLEAN(SUBSTITUTE($B6,CHAR(160)," "))))
*
(--TEXT([1]Main!$N$2:$N$5000,"dd/mm/yyyy")=
--TEXT($C6,"dd/mm/yyyy")),
[1]Main!$S$2:$S$5000
),
_xlfn.XLOOKUP(
1,
(TRIM(CLEAN(SUBSTITUTE([2]Main!$F$2:$F$5000,CHAR(160)," ")))=
TRIM(CLEAN(SUBSTITUTE($B6,CHAR(160)," "))))
*
(--TEXT([2]Main!$N$2:$N$5000,"dd/mm/yyyy")=
--TEXT($C6,"dd/mm/yyyy")),
[2]Main!$S$2:$S$5000,
"Không tìm thấy"
)
)</f>
        <v>VN</v>
      </c>
      <c r="N6" s="13" t="str" cm="1">
        <f t="array" ref="N6">IFERROR(
_xlfn.XLOOKUP(
1,
(TRIM(CLEAN(SUBSTITUTE([1]Main!$F$2:$F$5000,CHAR(160)," ")))=
TRIM(CLEAN(SUBSTITUTE($B6,CHAR(160)," "))))
*
(--TEXT([1]Main!$N$2:$N$5000,"dd/mm/yyyy")=
--TEXT($C6,"dd/mm/yyyy")),
[1]Main!$AL$2:$AL$5000
),
_xlfn.XLOOKUP(
1,
(TRIM(CLEAN(SUBSTITUTE([2]Main!$F$2:$F$5000,CHAR(160)," ")))=
TRIM(CLEAN(SUBSTITUTE($B6,CHAR(160)," "))))
*
(--TEXT([2]Main!$N$2:$N$5000,"dd/mm/yyyy")=
--TEXT($C6,"dd/mm/yyyy")),
[2]Main!$AL$2:$AL$5000,
"Không tìm thấy"
)
)</f>
        <v>Thành phố Hà Nội</v>
      </c>
      <c r="O6" s="10"/>
      <c r="P6" s="10"/>
      <c r="Q6" s="10"/>
      <c r="R6" s="10"/>
      <c r="S6" s="10"/>
      <c r="T6" s="3" t="s">
        <v>653</v>
      </c>
      <c r="U6" s="3"/>
      <c r="V6" s="3"/>
      <c r="W6" s="3" t="str">
        <f>IF(
    COUNTIFS(
        [1]Main!$F:$F,$B6,
        [1]Main!$N:$N,$C6
    )&gt;0,
    "Active",
    IF(
        COUNTIFS(
            [2]Main!$F:$F,$B6,
            [2]Main!$N:$N,$C6
        )&gt;0,
        "Inactive",
        "Không tìm thấy"
    )
)</f>
        <v>Active</v>
      </c>
      <c r="X6" s="15" t="str" cm="1">
        <f t="array" ref="X6">IFERROR(
_xlfn.XLOOKUP(
1,
(TRIM(CLEAN(SUBSTITUTE([2]Main!$F$2:$F$5000,CHAR(160)," ")))=
TRIM(CLEAN(SUBSTITUTE($B6,CHAR(160)," "))))
*
(--TEXT([2]Main!$N$2:$N$5000,"dd/mm/yyyy")=
--TEXT($C6,"dd/mm/yyyy")),
[2]Main!$AA$2:$AA$5000,
""
),
"")</f>
        <v/>
      </c>
      <c r="Y6" s="3"/>
      <c r="Z6" s="3"/>
      <c r="AA6" s="3"/>
      <c r="AB6" s="3"/>
    </row>
    <row r="7" spans="1:28" ht="38.25" customHeight="1" x14ac:dyDescent="0.25">
      <c r="A7" s="1">
        <v>6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  <c r="H7" s="1" t="s">
        <v>49</v>
      </c>
      <c r="I7" s="1" t="s">
        <v>38</v>
      </c>
      <c r="J7" s="2" t="s">
        <v>15</v>
      </c>
      <c r="K7" s="13" t="str" cm="1">
        <f t="array" ref="K7">IFERROR(
_xlfn.XLOOKUP(
1,
(TRIM(CLEAN(SUBSTITUTE([1]Main!$F$2:$F$5000,CHAR(160)," ")))=
TRIM(CLEAN(SUBSTITUTE($B7,CHAR(160)," "))))
*
(--TEXT([1]Main!$N$2:$N$5000,"dd/mm/yyyy")=
--TEXT($C7,"dd/mm/yyyy")),
[1]Main!$C$2:$C$5000
),
_xlfn.XLOOKUP(
1,
(TRIM(CLEAN(SUBSTITUTE([2]Main!$F$2:$F$5000,CHAR(160)," ")))=
TRIM(CLEAN(SUBSTITUTE($B7,CHAR(160)," "))))
*
(--TEXT([2]Main!$N$2:$N$5000,"dd/mm/yyyy")=
--TEXT($C7,"dd/mm/yyyy")),
[2]Main!$C$2:$C$5000,
"Không tìm thấy"
)
)</f>
        <v>030303011265</v>
      </c>
      <c r="L7" s="13" t="str" cm="1">
        <f t="array" ref="L7">IFERROR(
_xlfn.XLOOKUP(
1,
(TRIM(CLEAN(SUBSTITUTE([1]Main!$F$2:$F$5000,CHAR(160)," ")))=
TRIM(CLEAN(SUBSTITUTE($B7,CHAR(160)," "))))
*
(--TEXT([1]Main!$N$2:$N$5000,"dd/mm/yyyy")=
--TEXT($C7,"dd/mm/yyyy")),
[1]Main!$Q$2:$Q$5000
),
_xlfn.XLOOKUP(
1,
(TRIM(CLEAN(SUBSTITUTE([2]Main!$F$2:$F$5000,CHAR(160)," ")))=
TRIM(CLEAN(SUBSTITUTE($B7,CHAR(160)," "))))
*
(--TEXT([2]Main!$N$2:$N$5000,"dd/mm/yyyy")=
--TEXT($C7,"dd/mm/yyyy")),
[2]Main!$Q$2:$Q$5000,
"Không tìm thấy"
)
)</f>
        <v>Nữ</v>
      </c>
      <c r="M7" s="13" t="str" cm="1">
        <f t="array" ref="M7">IFERROR(
_xlfn.XLOOKUP(
1,
(TRIM(CLEAN(SUBSTITUTE([1]Main!$F$2:$F$5000,CHAR(160)," ")))=
TRIM(CLEAN(SUBSTITUTE($B7,CHAR(160)," "))))
*
(--TEXT([1]Main!$N$2:$N$5000,"dd/mm/yyyy")=
--TEXT($C7,"dd/mm/yyyy")),
[1]Main!$S$2:$S$5000
),
_xlfn.XLOOKUP(
1,
(TRIM(CLEAN(SUBSTITUTE([2]Main!$F$2:$F$5000,CHAR(160)," ")))=
TRIM(CLEAN(SUBSTITUTE($B7,CHAR(160)," "))))
*
(--TEXT([2]Main!$N$2:$N$5000,"dd/mm/yyyy")=
--TEXT($C7,"dd/mm/yyyy")),
[2]Main!$S$2:$S$5000,
"Không tìm thấy"
)
)</f>
        <v>VN</v>
      </c>
      <c r="N7" s="13" t="str" cm="1">
        <f t="array" ref="N7">IFERROR(
_xlfn.XLOOKUP(
1,
(TRIM(CLEAN(SUBSTITUTE([1]Main!$F$2:$F$5000,CHAR(160)," ")))=
TRIM(CLEAN(SUBSTITUTE($B7,CHAR(160)," "))))
*
(--TEXT([1]Main!$N$2:$N$5000,"dd/mm/yyyy")=
--TEXT($C7,"dd/mm/yyyy")),
[1]Main!$AL$2:$AL$5000
),
_xlfn.XLOOKUP(
1,
(TRIM(CLEAN(SUBSTITUTE([2]Main!$F$2:$F$5000,CHAR(160)," ")))=
TRIM(CLEAN(SUBSTITUTE($B7,CHAR(160)," "))))
*
(--TEXT([2]Main!$N$2:$N$5000,"dd/mm/yyyy")=
--TEXT($C7,"dd/mm/yyyy")),
[2]Main!$AL$2:$AL$5000,
"Không tìm thấy"
)
)</f>
        <v>Thành phố Hà Nội</v>
      </c>
      <c r="O7" s="10"/>
      <c r="P7" s="10"/>
      <c r="Q7" s="10"/>
      <c r="R7" s="10"/>
      <c r="S7" s="10"/>
      <c r="T7" s="3" t="s">
        <v>653</v>
      </c>
      <c r="U7" s="3"/>
      <c r="V7" s="3"/>
      <c r="W7" s="3" t="str">
        <f>IF(
    COUNTIFS(
        [1]Main!$F:$F,$B7,
        [1]Main!$N:$N,$C7
    )&gt;0,
    "Active",
    IF(
        COUNTIFS(
            [2]Main!$F:$F,$B7,
            [2]Main!$N:$N,$C7
        )&gt;0,
        "Inactive",
        "Không tìm thấy"
    )
)</f>
        <v>Inactive</v>
      </c>
      <c r="X7" s="15" cm="1">
        <f t="array" ref="X7">IFERROR(
_xlfn.XLOOKUP(
1,
(TRIM(CLEAN(SUBSTITUTE([2]Main!$F$2:$F$5000,CHAR(160)," ")))=
TRIM(CLEAN(SUBSTITUTE($B7,CHAR(160)," "))))
*
(--TEXT([2]Main!$N$2:$N$5000,"dd/mm/yyyy")=
--TEXT($C7,"dd/mm/yyyy")),
[2]Main!$AA$2:$AA$5000,
""
),
"")</f>
        <v>46053</v>
      </c>
      <c r="Y7" s="3"/>
      <c r="Z7" s="3"/>
      <c r="AA7" s="3"/>
      <c r="AB7" s="3"/>
    </row>
    <row r="8" spans="1:28" ht="38.25" customHeight="1" x14ac:dyDescent="0.25">
      <c r="A8" s="1">
        <v>7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  <c r="H8" s="1" t="s">
        <v>56</v>
      </c>
      <c r="I8" s="1" t="s">
        <v>14</v>
      </c>
      <c r="J8" s="2" t="s">
        <v>15</v>
      </c>
      <c r="K8" s="13" t="str" cm="1">
        <f t="array" ref="K8">IFERROR(
_xlfn.XLOOKUP(
1,
(TRIM(CLEAN(SUBSTITUTE([1]Main!$F$2:$F$5000,CHAR(160)," ")))=
TRIM(CLEAN(SUBSTITUTE($B8,CHAR(160)," "))))
*
(--TEXT([1]Main!$N$2:$N$5000,"dd/mm/yyyy")=
--TEXT($C8,"dd/mm/yyyy")),
[1]Main!$C$2:$C$5000
),
_xlfn.XLOOKUP(
1,
(TRIM(CLEAN(SUBSTITUTE([2]Main!$F$2:$F$5000,CHAR(160)," ")))=
TRIM(CLEAN(SUBSTITUTE($B8,CHAR(160)," "))))
*
(--TEXT([2]Main!$N$2:$N$5000,"dd/mm/yyyy")=
--TEXT($C8,"dd/mm/yyyy")),
[2]Main!$C$2:$C$5000,
"Không tìm thấy"
)
)</f>
        <v>034099004592</v>
      </c>
      <c r="L8" s="13" t="str" cm="1">
        <f t="array" ref="L8">IFERROR(
_xlfn.XLOOKUP(
1,
(TRIM(CLEAN(SUBSTITUTE([1]Main!$F$2:$F$5000,CHAR(160)," ")))=
TRIM(CLEAN(SUBSTITUTE($B8,CHAR(160)," "))))
*
(--TEXT([1]Main!$N$2:$N$5000,"dd/mm/yyyy")=
--TEXT($C8,"dd/mm/yyyy")),
[1]Main!$Q$2:$Q$5000
),
_xlfn.XLOOKUP(
1,
(TRIM(CLEAN(SUBSTITUTE([2]Main!$F$2:$F$5000,CHAR(160)," ")))=
TRIM(CLEAN(SUBSTITUTE($B8,CHAR(160)," "))))
*
(--TEXT([2]Main!$N$2:$N$5000,"dd/mm/yyyy")=
--TEXT($C8,"dd/mm/yyyy")),
[2]Main!$Q$2:$Q$5000,
"Không tìm thấy"
)
)</f>
        <v>Nam</v>
      </c>
      <c r="M8" s="13" t="str" cm="1">
        <f t="array" ref="M8">IFERROR(
_xlfn.XLOOKUP(
1,
(TRIM(CLEAN(SUBSTITUTE([1]Main!$F$2:$F$5000,CHAR(160)," ")))=
TRIM(CLEAN(SUBSTITUTE($B8,CHAR(160)," "))))
*
(--TEXT([1]Main!$N$2:$N$5000,"dd/mm/yyyy")=
--TEXT($C8,"dd/mm/yyyy")),
[1]Main!$S$2:$S$5000
),
_xlfn.XLOOKUP(
1,
(TRIM(CLEAN(SUBSTITUTE([2]Main!$F$2:$F$5000,CHAR(160)," ")))=
TRIM(CLEAN(SUBSTITUTE($B8,CHAR(160)," "))))
*
(--TEXT([2]Main!$N$2:$N$5000,"dd/mm/yyyy")=
--TEXT($C8,"dd/mm/yyyy")),
[2]Main!$S$2:$S$5000,
"Không tìm thấy"
)
)</f>
        <v>VN</v>
      </c>
      <c r="N8" s="13" t="str" cm="1">
        <f t="array" ref="N8">IFERROR(
_xlfn.XLOOKUP(
1,
(TRIM(CLEAN(SUBSTITUTE([1]Main!$F$2:$F$5000,CHAR(160)," ")))=
TRIM(CLEAN(SUBSTITUTE($B8,CHAR(160)," "))))
*
(--TEXT([1]Main!$N$2:$N$5000,"dd/mm/yyyy")=
--TEXT($C8,"dd/mm/yyyy")),
[1]Main!$AL$2:$AL$5000
),
_xlfn.XLOOKUP(
1,
(TRIM(CLEAN(SUBSTITUTE([2]Main!$F$2:$F$5000,CHAR(160)," ")))=
TRIM(CLEAN(SUBSTITUTE($B8,CHAR(160)," "))))
*
(--TEXT([2]Main!$N$2:$N$5000,"dd/mm/yyyy")=
--TEXT($C8,"dd/mm/yyyy")),
[2]Main!$AL$2:$AL$5000,
"Không tìm thấy"
)
)</f>
        <v>Thành phố Hà Nội</v>
      </c>
      <c r="O8" s="10"/>
      <c r="P8" s="10"/>
      <c r="Q8" s="10"/>
      <c r="R8" s="10"/>
      <c r="S8" s="10"/>
      <c r="T8" s="3" t="s">
        <v>653</v>
      </c>
      <c r="U8" s="3"/>
      <c r="V8" s="3"/>
      <c r="W8" s="3" t="str">
        <f>IF(
    COUNTIFS(
        [1]Main!$F:$F,$B8,
        [1]Main!$N:$N,$C8
    )&gt;0,
    "Active",
    IF(
        COUNTIFS(
            [2]Main!$F:$F,$B8,
            [2]Main!$N:$N,$C8
        )&gt;0,
        "Inactive",
        "Không tìm thấy"
    )
)</f>
        <v>Active</v>
      </c>
      <c r="X8" s="15" t="str" cm="1">
        <f t="array" ref="X8">IFERROR(
_xlfn.XLOOKUP(
1,
(TRIM(CLEAN(SUBSTITUTE([2]Main!$F$2:$F$5000,CHAR(160)," ")))=
TRIM(CLEAN(SUBSTITUTE($B8,CHAR(160)," "))))
*
(--TEXT([2]Main!$N$2:$N$5000,"dd/mm/yyyy")=
--TEXT($C8,"dd/mm/yyyy")),
[2]Main!$AA$2:$AA$5000,
""
),
"")</f>
        <v/>
      </c>
      <c r="Y8" s="3"/>
      <c r="Z8" s="3"/>
      <c r="AA8" s="3"/>
      <c r="AB8" s="3"/>
    </row>
    <row r="9" spans="1:28" ht="38.25" customHeight="1" x14ac:dyDescent="0.25">
      <c r="A9" s="1">
        <v>8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  <c r="H9" s="1" t="s">
        <v>56</v>
      </c>
      <c r="I9" s="1" t="s">
        <v>14</v>
      </c>
      <c r="J9" s="2" t="s">
        <v>15</v>
      </c>
      <c r="K9" s="13" t="str" cm="1">
        <f t="array" ref="K9">IFERROR(
_xlfn.XLOOKUP(
1,
(TRIM(CLEAN(SUBSTITUTE([1]Main!$F$2:$F$5000,CHAR(160)," ")))=
TRIM(CLEAN(SUBSTITUTE($B9,CHAR(160)," "))))
*
(--TEXT([1]Main!$N$2:$N$5000,"dd/mm/yyyy")=
--TEXT($C9,"dd/mm/yyyy")),
[1]Main!$C$2:$C$5000
),
_xlfn.XLOOKUP(
1,
(TRIM(CLEAN(SUBSTITUTE([2]Main!$F$2:$F$5000,CHAR(160)," ")))=
TRIM(CLEAN(SUBSTITUTE($B9,CHAR(160)," "))))
*
(--TEXT([2]Main!$N$2:$N$5000,"dd/mm/yyyy")=
--TEXT($C9,"dd/mm/yyyy")),
[2]Main!$C$2:$C$5000,
"Không tìm thấy"
)
)</f>
        <v>042302000351</v>
      </c>
      <c r="L9" s="13" t="str" cm="1">
        <f t="array" ref="L9">IFERROR(
_xlfn.XLOOKUP(
1,
(TRIM(CLEAN(SUBSTITUTE([1]Main!$F$2:$F$5000,CHAR(160)," ")))=
TRIM(CLEAN(SUBSTITUTE($B9,CHAR(160)," "))))
*
(--TEXT([1]Main!$N$2:$N$5000,"dd/mm/yyyy")=
--TEXT($C9,"dd/mm/yyyy")),
[1]Main!$Q$2:$Q$5000
),
_xlfn.XLOOKUP(
1,
(TRIM(CLEAN(SUBSTITUTE([2]Main!$F$2:$F$5000,CHAR(160)," ")))=
TRIM(CLEAN(SUBSTITUTE($B9,CHAR(160)," "))))
*
(--TEXT([2]Main!$N$2:$N$5000,"dd/mm/yyyy")=
--TEXT($C9,"dd/mm/yyyy")),
[2]Main!$Q$2:$Q$5000,
"Không tìm thấy"
)
)</f>
        <v>Nữ</v>
      </c>
      <c r="M9" s="13" t="str" cm="1">
        <f t="array" ref="M9">IFERROR(
_xlfn.XLOOKUP(
1,
(TRIM(CLEAN(SUBSTITUTE([1]Main!$F$2:$F$5000,CHAR(160)," ")))=
TRIM(CLEAN(SUBSTITUTE($B9,CHAR(160)," "))))
*
(--TEXT([1]Main!$N$2:$N$5000,"dd/mm/yyyy")=
--TEXT($C9,"dd/mm/yyyy")),
[1]Main!$S$2:$S$5000
),
_xlfn.XLOOKUP(
1,
(TRIM(CLEAN(SUBSTITUTE([2]Main!$F$2:$F$5000,CHAR(160)," ")))=
TRIM(CLEAN(SUBSTITUTE($B9,CHAR(160)," "))))
*
(--TEXT([2]Main!$N$2:$N$5000,"dd/mm/yyyy")=
--TEXT($C9,"dd/mm/yyyy")),
[2]Main!$S$2:$S$5000,
"Không tìm thấy"
)
)</f>
        <v>VN</v>
      </c>
      <c r="N9" s="13" t="str" cm="1">
        <f t="array" ref="N9">IFERROR(
_xlfn.XLOOKUP(
1,
(TRIM(CLEAN(SUBSTITUTE([1]Main!$F$2:$F$5000,CHAR(160)," ")))=
TRIM(CLEAN(SUBSTITUTE($B9,CHAR(160)," "))))
*
(--TEXT([1]Main!$N$2:$N$5000,"dd/mm/yyyy")=
--TEXT($C9,"dd/mm/yyyy")),
[1]Main!$AL$2:$AL$5000
),
_xlfn.XLOOKUP(
1,
(TRIM(CLEAN(SUBSTITUTE([2]Main!$F$2:$F$5000,CHAR(160)," ")))=
TRIM(CLEAN(SUBSTITUTE($B9,CHAR(160)," "))))
*
(--TEXT([2]Main!$N$2:$N$5000,"dd/mm/yyyy")=
--TEXT($C9,"dd/mm/yyyy")),
[2]Main!$AL$2:$AL$5000,
"Không tìm thấy"
)
)</f>
        <v>Thành phố Hà Nội</v>
      </c>
      <c r="O9" s="10"/>
      <c r="P9" s="10"/>
      <c r="Q9" s="10"/>
      <c r="R9" s="10"/>
      <c r="S9" s="10"/>
      <c r="T9" s="3" t="s">
        <v>653</v>
      </c>
      <c r="U9" s="3"/>
      <c r="V9" s="3"/>
      <c r="W9" s="3" t="str">
        <f>IF(
    COUNTIFS(
        [1]Main!$F:$F,$B9,
        [1]Main!$N:$N,$C9
    )&gt;0,
    "Active",
    IF(
        COUNTIFS(
            [2]Main!$F:$F,$B9,
            [2]Main!$N:$N,$C9
        )&gt;0,
        "Inactive",
        "Không tìm thấy"
    )
)</f>
        <v>Active</v>
      </c>
      <c r="X9" s="15" t="str" cm="1">
        <f t="array" ref="X9">IFERROR(
_xlfn.XLOOKUP(
1,
(TRIM(CLEAN(SUBSTITUTE([2]Main!$F$2:$F$5000,CHAR(160)," ")))=
TRIM(CLEAN(SUBSTITUTE($B9,CHAR(160)," "))))
*
(--TEXT([2]Main!$N$2:$N$5000,"dd/mm/yyyy")=
--TEXT($C9,"dd/mm/yyyy")),
[2]Main!$AA$2:$AA$5000,
""
),
"")</f>
        <v/>
      </c>
      <c r="Y9" s="3"/>
      <c r="Z9" s="3"/>
      <c r="AA9" s="3"/>
      <c r="AB9" s="3"/>
    </row>
    <row r="10" spans="1:28" ht="38.25" customHeight="1" x14ac:dyDescent="0.25">
      <c r="A10" s="1">
        <v>9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67</v>
      </c>
      <c r="G10" s="2" t="s">
        <v>68</v>
      </c>
      <c r="H10" s="1" t="s">
        <v>69</v>
      </c>
      <c r="I10" s="1" t="s">
        <v>14</v>
      </c>
      <c r="J10" s="2" t="s">
        <v>70</v>
      </c>
      <c r="K10" s="13" t="str" cm="1">
        <f t="array" ref="K10">IFERROR(
_xlfn.XLOOKUP(
1,
(TRIM(CLEAN(SUBSTITUTE([1]Main!$F$2:$F$5000,CHAR(160)," ")))=
TRIM(CLEAN(SUBSTITUTE($B10,CHAR(160)," "))))
*
(--TEXT([1]Main!$N$2:$N$5000,"dd/mm/yyyy")=
--TEXT($C10,"dd/mm/yyyy")),
[1]Main!$C$2:$C$5000
),
_xlfn.XLOOKUP(
1,
(TRIM(CLEAN(SUBSTITUTE([2]Main!$F$2:$F$5000,CHAR(160)," ")))=
TRIM(CLEAN(SUBSTITUTE($B10,CHAR(160)," "))))
*
(--TEXT([2]Main!$N$2:$N$5000,"dd/mm/yyyy")=
--TEXT($C10,"dd/mm/yyyy")),
[2]Main!$C$2:$C$5000,
"Không tìm thấy"
)
)</f>
        <v>Không tìm thấy</v>
      </c>
      <c r="L10" s="13" t="str" cm="1">
        <f t="array" ref="L10">IFERROR(
_xlfn.XLOOKUP(
1,
(TRIM(CLEAN(SUBSTITUTE([1]Main!$F$2:$F$5000,CHAR(160)," ")))=
TRIM(CLEAN(SUBSTITUTE($B10,CHAR(160)," "))))
*
(--TEXT([1]Main!$N$2:$N$5000,"dd/mm/yyyy")=
--TEXT($C10,"dd/mm/yyyy")),
[1]Main!$Q$2:$Q$5000
),
_xlfn.XLOOKUP(
1,
(TRIM(CLEAN(SUBSTITUTE([2]Main!$F$2:$F$5000,CHAR(160)," ")))=
TRIM(CLEAN(SUBSTITUTE($B10,CHAR(160)," "))))
*
(--TEXT([2]Main!$N$2:$N$5000,"dd/mm/yyyy")=
--TEXT($C10,"dd/mm/yyyy")),
[2]Main!$Q$2:$Q$5000,
"Không tìm thấy"
)
)</f>
        <v>Không tìm thấy</v>
      </c>
      <c r="M10" s="13" t="str" cm="1">
        <f t="array" ref="M10">IFERROR(
_xlfn.XLOOKUP(
1,
(TRIM(CLEAN(SUBSTITUTE([1]Main!$F$2:$F$5000,CHAR(160)," ")))=
TRIM(CLEAN(SUBSTITUTE($B10,CHAR(160)," "))))
*
(--TEXT([1]Main!$N$2:$N$5000,"dd/mm/yyyy")=
--TEXT($C10,"dd/mm/yyyy")),
[1]Main!$S$2:$S$5000
),
_xlfn.XLOOKUP(
1,
(TRIM(CLEAN(SUBSTITUTE([2]Main!$F$2:$F$5000,CHAR(160)," ")))=
TRIM(CLEAN(SUBSTITUTE($B10,CHAR(160)," "))))
*
(--TEXT([2]Main!$N$2:$N$5000,"dd/mm/yyyy")=
--TEXT($C10,"dd/mm/yyyy")),
[2]Main!$S$2:$S$5000,
"Không tìm thấy"
)
)</f>
        <v>Không tìm thấy</v>
      </c>
      <c r="N10" s="13" t="str" cm="1">
        <f t="array" ref="N10">IFERROR(
_xlfn.XLOOKUP(
1,
(TRIM(CLEAN(SUBSTITUTE([1]Main!$F$2:$F$5000,CHAR(160)," ")))=
TRIM(CLEAN(SUBSTITUTE($B10,CHAR(160)," "))))
*
(--TEXT([1]Main!$N$2:$N$5000,"dd/mm/yyyy")=
--TEXT($C10,"dd/mm/yyyy")),
[1]Main!$AL$2:$AL$5000
),
_xlfn.XLOOKUP(
1,
(TRIM(CLEAN(SUBSTITUTE([2]Main!$F$2:$F$5000,CHAR(160)," ")))=
TRIM(CLEAN(SUBSTITUTE($B10,CHAR(160)," "))))
*
(--TEXT([2]Main!$N$2:$N$5000,"dd/mm/yyyy")=
--TEXT($C10,"dd/mm/yyyy")),
[2]Main!$AL$2:$AL$5000,
"Không tìm thấy"
)
)</f>
        <v>Không tìm thấy</v>
      </c>
      <c r="O10" s="10"/>
      <c r="P10" s="10"/>
      <c r="Q10" s="10"/>
      <c r="R10" s="10"/>
      <c r="S10" s="10"/>
      <c r="T10" s="3" t="s">
        <v>653</v>
      </c>
      <c r="U10" s="3"/>
      <c r="V10" s="3"/>
      <c r="W10" s="3" t="str">
        <f>IF(
    COUNTIFS(
        [1]Main!$F:$F,$B10,
        [1]Main!$N:$N,$C10
    )&gt;0,
    "Active",
    IF(
        COUNTIFS(
            [2]Main!$F:$F,$B10,
            [2]Main!$N:$N,$C10
        )&gt;0,
        "Inactive",
        "Không tìm thấy"
    )
)</f>
        <v>Không tìm thấy</v>
      </c>
      <c r="X10" s="15" t="str" cm="1">
        <f t="array" ref="X10">IFERROR(
_xlfn.XLOOKUP(
1,
(TRIM(CLEAN(SUBSTITUTE([2]Main!$F$2:$F$5000,CHAR(160)," ")))=
TRIM(CLEAN(SUBSTITUTE($B10,CHAR(160)," "))))
*
(--TEXT([2]Main!$N$2:$N$5000,"dd/mm/yyyy")=
--TEXT($C10,"dd/mm/yyyy")),
[2]Main!$AA$2:$AA$5000,
""
),
"")</f>
        <v/>
      </c>
      <c r="Y10" s="3"/>
      <c r="Z10" s="3"/>
      <c r="AA10" s="3"/>
      <c r="AB10" s="3"/>
    </row>
    <row r="11" spans="1:28" ht="38.25" customHeight="1" x14ac:dyDescent="0.25">
      <c r="A11" s="1">
        <v>10</v>
      </c>
      <c r="B11" s="2" t="s">
        <v>71</v>
      </c>
      <c r="C11" s="2" t="s">
        <v>72</v>
      </c>
      <c r="D11" s="2" t="s">
        <v>73</v>
      </c>
      <c r="E11" s="2" t="s">
        <v>74</v>
      </c>
      <c r="F11" s="2" t="s">
        <v>75</v>
      </c>
      <c r="G11" s="2" t="s">
        <v>76</v>
      </c>
      <c r="H11" s="1" t="s">
        <v>69</v>
      </c>
      <c r="I11" s="1" t="s">
        <v>14</v>
      </c>
      <c r="J11" s="2" t="s">
        <v>15</v>
      </c>
      <c r="K11" s="13" t="str" cm="1">
        <f t="array" ref="K11">IFERROR(
_xlfn.XLOOKUP(
1,
(TRIM(CLEAN(SUBSTITUTE([1]Main!$F$2:$F$5000,CHAR(160)," ")))=
TRIM(CLEAN(SUBSTITUTE($B11,CHAR(160)," "))))
*
(--TEXT([1]Main!$N$2:$N$5000,"dd/mm/yyyy")=
--TEXT($C11,"dd/mm/yyyy")),
[1]Main!$C$2:$C$5000
),
_xlfn.XLOOKUP(
1,
(TRIM(CLEAN(SUBSTITUTE([2]Main!$F$2:$F$5000,CHAR(160)," ")))=
TRIM(CLEAN(SUBSTITUTE($B11,CHAR(160)," "))))
*
(--TEXT([2]Main!$N$2:$N$5000,"dd/mm/yyyy")=
--TEXT($C11,"dd/mm/yyyy")),
[2]Main!$C$2:$C$5000,
"Không tìm thấy"
)
)</f>
        <v>001188016855</v>
      </c>
      <c r="L11" s="13" t="str" cm="1">
        <f t="array" ref="L11">IFERROR(
_xlfn.XLOOKUP(
1,
(TRIM(CLEAN(SUBSTITUTE([1]Main!$F$2:$F$5000,CHAR(160)," ")))=
TRIM(CLEAN(SUBSTITUTE($B11,CHAR(160)," "))))
*
(--TEXT([1]Main!$N$2:$N$5000,"dd/mm/yyyy")=
--TEXT($C11,"dd/mm/yyyy")),
[1]Main!$Q$2:$Q$5000
),
_xlfn.XLOOKUP(
1,
(TRIM(CLEAN(SUBSTITUTE([2]Main!$F$2:$F$5000,CHAR(160)," ")))=
TRIM(CLEAN(SUBSTITUTE($B11,CHAR(160)," "))))
*
(--TEXT([2]Main!$N$2:$N$5000,"dd/mm/yyyy")=
--TEXT($C11,"dd/mm/yyyy")),
[2]Main!$Q$2:$Q$5000,
"Không tìm thấy"
)
)</f>
        <v>Nữ</v>
      </c>
      <c r="M11" s="13" t="str" cm="1">
        <f t="array" ref="M11">IFERROR(
_xlfn.XLOOKUP(
1,
(TRIM(CLEAN(SUBSTITUTE([1]Main!$F$2:$F$5000,CHAR(160)," ")))=
TRIM(CLEAN(SUBSTITUTE($B11,CHAR(160)," "))))
*
(--TEXT([1]Main!$N$2:$N$5000,"dd/mm/yyyy")=
--TEXT($C11,"dd/mm/yyyy")),
[1]Main!$S$2:$S$5000
),
_xlfn.XLOOKUP(
1,
(TRIM(CLEAN(SUBSTITUTE([2]Main!$F$2:$F$5000,CHAR(160)," ")))=
TRIM(CLEAN(SUBSTITUTE($B11,CHAR(160)," "))))
*
(--TEXT([2]Main!$N$2:$N$5000,"dd/mm/yyyy")=
--TEXT($C11,"dd/mm/yyyy")),
[2]Main!$S$2:$S$5000,
"Không tìm thấy"
)
)</f>
        <v>VN</v>
      </c>
      <c r="N11" s="13" t="str" cm="1">
        <f t="array" ref="N11">IFERROR(
_xlfn.XLOOKUP(
1,
(TRIM(CLEAN(SUBSTITUTE([1]Main!$F$2:$F$5000,CHAR(160)," ")))=
TRIM(CLEAN(SUBSTITUTE($B11,CHAR(160)," "))))
*
(--TEXT([1]Main!$N$2:$N$5000,"dd/mm/yyyy")=
--TEXT($C11,"dd/mm/yyyy")),
[1]Main!$AL$2:$AL$5000
),
_xlfn.XLOOKUP(
1,
(TRIM(CLEAN(SUBSTITUTE([2]Main!$F$2:$F$5000,CHAR(160)," ")))=
TRIM(CLEAN(SUBSTITUTE($B11,CHAR(160)," "))))
*
(--TEXT([2]Main!$N$2:$N$5000,"dd/mm/yyyy")=
--TEXT($C11,"dd/mm/yyyy")),
[2]Main!$AL$2:$AL$5000,
"Không tìm thấy"
)
)</f>
        <v>Thành phố Hà Nội</v>
      </c>
      <c r="O11" s="10"/>
      <c r="P11" s="10"/>
      <c r="Q11" s="10"/>
      <c r="R11" s="10"/>
      <c r="S11" s="10"/>
      <c r="T11" s="3" t="s">
        <v>653</v>
      </c>
      <c r="U11" s="3"/>
      <c r="V11" s="3"/>
      <c r="W11" s="3" t="str">
        <f>IF(
    COUNTIFS(
        [1]Main!$F:$F,$B11,
        [1]Main!$N:$N,$C11
    )&gt;0,
    "Active",
    IF(
        COUNTIFS(
            [2]Main!$F:$F,$B11,
            [2]Main!$N:$N,$C11
        )&gt;0,
        "Inactive",
        "Không tìm thấy"
    )
)</f>
        <v>Inactive</v>
      </c>
      <c r="X11" s="15" cm="1">
        <f t="array" ref="X11">IFERROR(
_xlfn.XLOOKUP(
1,
(TRIM(CLEAN(SUBSTITUTE([2]Main!$F$2:$F$5000,CHAR(160)," ")))=
TRIM(CLEAN(SUBSTITUTE($B11,CHAR(160)," "))))
*
(--TEXT([2]Main!$N$2:$N$5000,"dd/mm/yyyy")=
--TEXT($C11,"dd/mm/yyyy")),
[2]Main!$AA$2:$AA$5000,
""
),
"")</f>
        <v>46198</v>
      </c>
      <c r="Y11" s="3"/>
      <c r="Z11" s="3"/>
      <c r="AA11" s="3"/>
      <c r="AB11" s="3"/>
    </row>
    <row r="12" spans="1:28" ht="38.25" customHeight="1" x14ac:dyDescent="0.25">
      <c r="A12" s="1">
        <v>11</v>
      </c>
      <c r="B12" s="2" t="s">
        <v>77</v>
      </c>
      <c r="C12" s="2" t="s">
        <v>78</v>
      </c>
      <c r="D12" s="2" t="s">
        <v>79</v>
      </c>
      <c r="E12" s="2" t="s">
        <v>19</v>
      </c>
      <c r="F12" s="2" t="s">
        <v>80</v>
      </c>
      <c r="G12" s="2" t="s">
        <v>81</v>
      </c>
      <c r="H12" s="1" t="s">
        <v>82</v>
      </c>
      <c r="I12" s="1" t="s">
        <v>14</v>
      </c>
      <c r="J12" s="2" t="s">
        <v>15</v>
      </c>
      <c r="K12" s="13" t="str" cm="1">
        <f t="array" ref="K12">IFERROR(
_xlfn.XLOOKUP(
1,
(TRIM(CLEAN(SUBSTITUTE([1]Main!$F$2:$F$5000,CHAR(160)," ")))=
TRIM(CLEAN(SUBSTITUTE($B12,CHAR(160)," "))))
*
(--TEXT([1]Main!$N$2:$N$5000,"dd/mm/yyyy")=
--TEXT($C12,"dd/mm/yyyy")),
[1]Main!$C$2:$C$5000
),
_xlfn.XLOOKUP(
1,
(TRIM(CLEAN(SUBSTITUTE([2]Main!$F$2:$F$5000,CHAR(160)," ")))=
TRIM(CLEAN(SUBSTITUTE($B12,CHAR(160)," "))))
*
(--TEXT([2]Main!$N$2:$N$5000,"dd/mm/yyyy")=
--TEXT($C12,"dd/mm/yyyy")),
[2]Main!$C$2:$C$5000,
"Không tìm thấy"
)
)</f>
        <v>001096016191</v>
      </c>
      <c r="L12" s="13" t="str" cm="1">
        <f t="array" ref="L12">IFERROR(
_xlfn.XLOOKUP(
1,
(TRIM(CLEAN(SUBSTITUTE([1]Main!$F$2:$F$5000,CHAR(160)," ")))=
TRIM(CLEAN(SUBSTITUTE($B12,CHAR(160)," "))))
*
(--TEXT([1]Main!$N$2:$N$5000,"dd/mm/yyyy")=
--TEXT($C12,"dd/mm/yyyy")),
[1]Main!$Q$2:$Q$5000
),
_xlfn.XLOOKUP(
1,
(TRIM(CLEAN(SUBSTITUTE([2]Main!$F$2:$F$5000,CHAR(160)," ")))=
TRIM(CLEAN(SUBSTITUTE($B12,CHAR(160)," "))))
*
(--TEXT([2]Main!$N$2:$N$5000,"dd/mm/yyyy")=
--TEXT($C12,"dd/mm/yyyy")),
[2]Main!$Q$2:$Q$5000,
"Không tìm thấy"
)
)</f>
        <v>Nam</v>
      </c>
      <c r="M12" s="13" t="str" cm="1">
        <f t="array" ref="M12">IFERROR(
_xlfn.XLOOKUP(
1,
(TRIM(CLEAN(SUBSTITUTE([1]Main!$F$2:$F$5000,CHAR(160)," ")))=
TRIM(CLEAN(SUBSTITUTE($B12,CHAR(160)," "))))
*
(--TEXT([1]Main!$N$2:$N$5000,"dd/mm/yyyy")=
--TEXT($C12,"dd/mm/yyyy")),
[1]Main!$S$2:$S$5000
),
_xlfn.XLOOKUP(
1,
(TRIM(CLEAN(SUBSTITUTE([2]Main!$F$2:$F$5000,CHAR(160)," ")))=
TRIM(CLEAN(SUBSTITUTE($B12,CHAR(160)," "))))
*
(--TEXT([2]Main!$N$2:$N$5000,"dd/mm/yyyy")=
--TEXT($C12,"dd/mm/yyyy")),
[2]Main!$S$2:$S$5000,
"Không tìm thấy"
)
)</f>
        <v>VN</v>
      </c>
      <c r="N12" s="13" t="str" cm="1">
        <f t="array" ref="N12">IFERROR(
_xlfn.XLOOKUP(
1,
(TRIM(CLEAN(SUBSTITUTE([1]Main!$F$2:$F$5000,CHAR(160)," ")))=
TRIM(CLEAN(SUBSTITUTE($B12,CHAR(160)," "))))
*
(--TEXT([1]Main!$N$2:$N$5000,"dd/mm/yyyy")=
--TEXT($C12,"dd/mm/yyyy")),
[1]Main!$AL$2:$AL$5000
),
_xlfn.XLOOKUP(
1,
(TRIM(CLEAN(SUBSTITUTE([2]Main!$F$2:$F$5000,CHAR(160)," ")))=
TRIM(CLEAN(SUBSTITUTE($B12,CHAR(160)," "))))
*
(--TEXT([2]Main!$N$2:$N$5000,"dd/mm/yyyy")=
--TEXT($C12,"dd/mm/yyyy")),
[2]Main!$AL$2:$AL$5000,
"Không tìm thấy"
)
)</f>
        <v>Thành phố Hà Nội</v>
      </c>
      <c r="O12" s="10"/>
      <c r="P12" s="10"/>
      <c r="Q12" s="10"/>
      <c r="R12" s="10"/>
      <c r="S12" s="10"/>
      <c r="T12" s="3" t="s">
        <v>653</v>
      </c>
      <c r="U12" s="3"/>
      <c r="V12" s="3"/>
      <c r="W12" s="3" t="str">
        <f>IF(
    COUNTIFS(
        [1]Main!$F:$F,$B12,
        [1]Main!$N:$N,$C12
    )&gt;0,
    "Active",
    IF(
        COUNTIFS(
            [2]Main!$F:$F,$B12,
            [2]Main!$N:$N,$C12
        )&gt;0,
        "Inactive",
        "Không tìm thấy"
    )
)</f>
        <v>Inactive</v>
      </c>
      <c r="X12" s="15" cm="1">
        <f t="array" ref="X12">IFERROR(
_xlfn.XLOOKUP(
1,
(TRIM(CLEAN(SUBSTITUTE([2]Main!$F$2:$F$5000,CHAR(160)," ")))=
TRIM(CLEAN(SUBSTITUTE($B12,CHAR(160)," "))))
*
(--TEXT([2]Main!$N$2:$N$5000,"dd/mm/yyyy")=
--TEXT($C12,"dd/mm/yyyy")),
[2]Main!$AA$2:$AA$5000,
""
),
"")</f>
        <v>46083</v>
      </c>
      <c r="Y12" s="3"/>
      <c r="Z12" s="3"/>
      <c r="AA12" s="3"/>
      <c r="AB12" s="3"/>
    </row>
    <row r="13" spans="1:28" ht="38.25" customHeight="1" x14ac:dyDescent="0.25">
      <c r="A13" s="1">
        <v>12</v>
      </c>
      <c r="B13" s="2" t="s">
        <v>83</v>
      </c>
      <c r="C13" s="2" t="s">
        <v>84</v>
      </c>
      <c r="D13" s="2" t="s">
        <v>85</v>
      </c>
      <c r="E13" s="2" t="s">
        <v>86</v>
      </c>
      <c r="F13" s="2" t="s">
        <v>87</v>
      </c>
      <c r="G13" s="2" t="s">
        <v>88</v>
      </c>
      <c r="H13" s="1" t="s">
        <v>82</v>
      </c>
      <c r="I13" s="1" t="s">
        <v>14</v>
      </c>
      <c r="J13" s="2" t="s">
        <v>15</v>
      </c>
      <c r="K13" s="13" t="str" cm="1">
        <f t="array" ref="K13">IFERROR(
_xlfn.XLOOKUP(
1,
(TRIM(CLEAN(SUBSTITUTE([1]Main!$F$2:$F$5000,CHAR(160)," ")))=
TRIM(CLEAN(SUBSTITUTE($B13,CHAR(160)," "))))
*
(--TEXT([1]Main!$N$2:$N$5000,"dd/mm/yyyy")=
--TEXT($C13,"dd/mm/yyyy")),
[1]Main!$C$2:$C$5000
),
_xlfn.XLOOKUP(
1,
(TRIM(CLEAN(SUBSTITUTE([2]Main!$F$2:$F$5000,CHAR(160)," ")))=
TRIM(CLEAN(SUBSTITUTE($B13,CHAR(160)," "))))
*
(--TEXT([2]Main!$N$2:$N$5000,"dd/mm/yyyy")=
--TEXT($C13,"dd/mm/yyyy")),
[2]Main!$C$2:$C$5000,
"Không tìm thấy"
)
)</f>
        <v>020099004620</v>
      </c>
      <c r="L13" s="13" t="str" cm="1">
        <f t="array" ref="L13">IFERROR(
_xlfn.XLOOKUP(
1,
(TRIM(CLEAN(SUBSTITUTE([1]Main!$F$2:$F$5000,CHAR(160)," ")))=
TRIM(CLEAN(SUBSTITUTE($B13,CHAR(160)," "))))
*
(--TEXT([1]Main!$N$2:$N$5000,"dd/mm/yyyy")=
--TEXT($C13,"dd/mm/yyyy")),
[1]Main!$Q$2:$Q$5000
),
_xlfn.XLOOKUP(
1,
(TRIM(CLEAN(SUBSTITUTE([2]Main!$F$2:$F$5000,CHAR(160)," ")))=
TRIM(CLEAN(SUBSTITUTE($B13,CHAR(160)," "))))
*
(--TEXT([2]Main!$N$2:$N$5000,"dd/mm/yyyy")=
--TEXT($C13,"dd/mm/yyyy")),
[2]Main!$Q$2:$Q$5000,
"Không tìm thấy"
)
)</f>
        <v>Nam</v>
      </c>
      <c r="M13" s="13" t="str" cm="1">
        <f t="array" ref="M13">IFERROR(
_xlfn.XLOOKUP(
1,
(TRIM(CLEAN(SUBSTITUTE([1]Main!$F$2:$F$5000,CHAR(160)," ")))=
TRIM(CLEAN(SUBSTITUTE($B13,CHAR(160)," "))))
*
(--TEXT([1]Main!$N$2:$N$5000,"dd/mm/yyyy")=
--TEXT($C13,"dd/mm/yyyy")),
[1]Main!$S$2:$S$5000
),
_xlfn.XLOOKUP(
1,
(TRIM(CLEAN(SUBSTITUTE([2]Main!$F$2:$F$5000,CHAR(160)," ")))=
TRIM(CLEAN(SUBSTITUTE($B13,CHAR(160)," "))))
*
(--TEXT([2]Main!$N$2:$N$5000,"dd/mm/yyyy")=
--TEXT($C13,"dd/mm/yyyy")),
[2]Main!$S$2:$S$5000,
"Không tìm thấy"
)
)</f>
        <v>VN</v>
      </c>
      <c r="N13" s="13" t="str" cm="1">
        <f t="array" ref="N13">IFERROR(
_xlfn.XLOOKUP(
1,
(TRIM(CLEAN(SUBSTITUTE([1]Main!$F$2:$F$5000,CHAR(160)," ")))=
TRIM(CLEAN(SUBSTITUTE($B13,CHAR(160)," "))))
*
(--TEXT([1]Main!$N$2:$N$5000,"dd/mm/yyyy")=
--TEXT($C13,"dd/mm/yyyy")),
[1]Main!$AL$2:$AL$5000
),
_xlfn.XLOOKUP(
1,
(TRIM(CLEAN(SUBSTITUTE([2]Main!$F$2:$F$5000,CHAR(160)," ")))=
TRIM(CLEAN(SUBSTITUTE($B13,CHAR(160)," "))))
*
(--TEXT([2]Main!$N$2:$N$5000,"dd/mm/yyyy")=
--TEXT($C13,"dd/mm/yyyy")),
[2]Main!$AL$2:$AL$5000,
"Không tìm thấy"
)
)</f>
        <v>Thành phố Hà Nội</v>
      </c>
      <c r="O13" s="10"/>
      <c r="P13" s="10"/>
      <c r="Q13" s="10"/>
      <c r="R13" s="10"/>
      <c r="S13" s="10"/>
      <c r="T13" s="3" t="s">
        <v>653</v>
      </c>
      <c r="U13" s="3"/>
      <c r="V13" s="3"/>
      <c r="W13" s="3" t="str">
        <f>IF(
    COUNTIFS(
        [1]Main!$F:$F,$B13,
        [1]Main!$N:$N,$C13
    )&gt;0,
    "Active",
    IF(
        COUNTIFS(
            [2]Main!$F:$F,$B13,
            [2]Main!$N:$N,$C13
        )&gt;0,
        "Inactive",
        "Không tìm thấy"
    )
)</f>
        <v>Active</v>
      </c>
      <c r="X13" s="15" t="str" cm="1">
        <f t="array" ref="X13">IFERROR(
_xlfn.XLOOKUP(
1,
(TRIM(CLEAN(SUBSTITUTE([2]Main!$F$2:$F$5000,CHAR(160)," ")))=
TRIM(CLEAN(SUBSTITUTE($B13,CHAR(160)," "))))
*
(--TEXT([2]Main!$N$2:$N$5000,"dd/mm/yyyy")=
--TEXT($C13,"dd/mm/yyyy")),
[2]Main!$AA$2:$AA$5000,
""
),
"")</f>
        <v/>
      </c>
      <c r="Y13" s="3"/>
      <c r="Z13" s="3"/>
      <c r="AA13" s="3"/>
      <c r="AB13" s="3"/>
    </row>
    <row r="14" spans="1:28" ht="38.25" customHeight="1" x14ac:dyDescent="0.25">
      <c r="A14" s="1">
        <v>13</v>
      </c>
      <c r="B14" s="2" t="s">
        <v>89</v>
      </c>
      <c r="C14" s="2" t="s">
        <v>90</v>
      </c>
      <c r="D14" s="2" t="s">
        <v>91</v>
      </c>
      <c r="E14" s="2" t="s">
        <v>92</v>
      </c>
      <c r="F14" s="2" t="s">
        <v>93</v>
      </c>
      <c r="G14" s="2" t="s">
        <v>81</v>
      </c>
      <c r="H14" s="1" t="s">
        <v>94</v>
      </c>
      <c r="I14" s="1" t="s">
        <v>14</v>
      </c>
      <c r="J14" s="2" t="s">
        <v>15</v>
      </c>
      <c r="K14" s="13" t="str" cm="1">
        <f t="array" ref="K14">IFERROR(
_xlfn.XLOOKUP(
1,
(TRIM(CLEAN(SUBSTITUTE([1]Main!$F$2:$F$5000,CHAR(160)," ")))=
TRIM(CLEAN(SUBSTITUTE($B14,CHAR(160)," "))))
*
(--TEXT([1]Main!$N$2:$N$5000,"dd/mm/yyyy")=
--TEXT($C14,"dd/mm/yyyy")),
[1]Main!$C$2:$C$5000
),
_xlfn.XLOOKUP(
1,
(TRIM(CLEAN(SUBSTITUTE([2]Main!$F$2:$F$5000,CHAR(160)," ")))=
TRIM(CLEAN(SUBSTITUTE($B14,CHAR(160)," "))))
*
(--TEXT([2]Main!$N$2:$N$5000,"dd/mm/yyyy")=
--TEXT($C14,"dd/mm/yyyy")),
[2]Main!$C$2:$C$5000,
"Không tìm thấy"
)
)</f>
        <v>001201003038</v>
      </c>
      <c r="L14" s="13" t="str" cm="1">
        <f t="array" ref="L14">IFERROR(
_xlfn.XLOOKUP(
1,
(TRIM(CLEAN(SUBSTITUTE([1]Main!$F$2:$F$5000,CHAR(160)," ")))=
TRIM(CLEAN(SUBSTITUTE($B14,CHAR(160)," "))))
*
(--TEXT([1]Main!$N$2:$N$5000,"dd/mm/yyyy")=
--TEXT($C14,"dd/mm/yyyy")),
[1]Main!$Q$2:$Q$5000
),
_xlfn.XLOOKUP(
1,
(TRIM(CLEAN(SUBSTITUTE([2]Main!$F$2:$F$5000,CHAR(160)," ")))=
TRIM(CLEAN(SUBSTITUTE($B14,CHAR(160)," "))))
*
(--TEXT([2]Main!$N$2:$N$5000,"dd/mm/yyyy")=
--TEXT($C14,"dd/mm/yyyy")),
[2]Main!$Q$2:$Q$5000,
"Không tìm thấy"
)
)</f>
        <v>Nam</v>
      </c>
      <c r="M14" s="13" t="str" cm="1">
        <f t="array" ref="M14">IFERROR(
_xlfn.XLOOKUP(
1,
(TRIM(CLEAN(SUBSTITUTE([1]Main!$F$2:$F$5000,CHAR(160)," ")))=
TRIM(CLEAN(SUBSTITUTE($B14,CHAR(160)," "))))
*
(--TEXT([1]Main!$N$2:$N$5000,"dd/mm/yyyy")=
--TEXT($C14,"dd/mm/yyyy")),
[1]Main!$S$2:$S$5000
),
_xlfn.XLOOKUP(
1,
(TRIM(CLEAN(SUBSTITUTE([2]Main!$F$2:$F$5000,CHAR(160)," ")))=
TRIM(CLEAN(SUBSTITUTE($B14,CHAR(160)," "))))
*
(--TEXT([2]Main!$N$2:$N$5000,"dd/mm/yyyy")=
--TEXT($C14,"dd/mm/yyyy")),
[2]Main!$S$2:$S$5000,
"Không tìm thấy"
)
)</f>
        <v>VN</v>
      </c>
      <c r="N14" s="13" t="str" cm="1">
        <f t="array" ref="N14">IFERROR(
_xlfn.XLOOKUP(
1,
(TRIM(CLEAN(SUBSTITUTE([1]Main!$F$2:$F$5000,CHAR(160)," ")))=
TRIM(CLEAN(SUBSTITUTE($B14,CHAR(160)," "))))
*
(--TEXT([1]Main!$N$2:$N$5000,"dd/mm/yyyy")=
--TEXT($C14,"dd/mm/yyyy")),
[1]Main!$AL$2:$AL$5000
),
_xlfn.XLOOKUP(
1,
(TRIM(CLEAN(SUBSTITUTE([2]Main!$F$2:$F$5000,CHAR(160)," ")))=
TRIM(CLEAN(SUBSTITUTE($B14,CHAR(160)," "))))
*
(--TEXT([2]Main!$N$2:$N$5000,"dd/mm/yyyy")=
--TEXT($C14,"dd/mm/yyyy")),
[2]Main!$AL$2:$AL$5000,
"Không tìm thấy"
)
)</f>
        <v>Thành phố Hà Nội</v>
      </c>
      <c r="O14" s="10"/>
      <c r="P14" s="10"/>
      <c r="Q14" s="10"/>
      <c r="R14" s="10"/>
      <c r="S14" s="10"/>
      <c r="T14" s="3" t="s">
        <v>653</v>
      </c>
      <c r="U14" s="3"/>
      <c r="V14" s="3"/>
      <c r="W14" s="3" t="str">
        <f>IF(
    COUNTIFS(
        [1]Main!$F:$F,$B14,
        [1]Main!$N:$N,$C14
    )&gt;0,
    "Active",
    IF(
        COUNTIFS(
            [2]Main!$F:$F,$B14,
            [2]Main!$N:$N,$C14
        )&gt;0,
        "Inactive",
        "Không tìm thấy"
    )
)</f>
        <v>Inactive</v>
      </c>
      <c r="X14" s="15" cm="1">
        <f t="array" ref="X14">IFERROR(
_xlfn.XLOOKUP(
1,
(TRIM(CLEAN(SUBSTITUTE([2]Main!$F$2:$F$5000,CHAR(160)," ")))=
TRIM(CLEAN(SUBSTITUTE($B14,CHAR(160)," "))))
*
(--TEXT([2]Main!$N$2:$N$5000,"dd/mm/yyyy")=
--TEXT($C14,"dd/mm/yyyy")),
[2]Main!$AA$2:$AA$5000,
""
),
"")</f>
        <v>45959</v>
      </c>
      <c r="Y14" s="3"/>
      <c r="Z14" s="3"/>
      <c r="AA14" s="3"/>
      <c r="AB14" s="3"/>
    </row>
    <row r="15" spans="1:28" ht="25.5" customHeight="1" x14ac:dyDescent="0.25">
      <c r="A15" s="1">
        <v>14</v>
      </c>
      <c r="B15" s="2" t="s">
        <v>95</v>
      </c>
      <c r="C15" s="2" t="s">
        <v>96</v>
      </c>
      <c r="D15" s="2" t="s">
        <v>97</v>
      </c>
      <c r="E15" s="2" t="s">
        <v>53</v>
      </c>
      <c r="F15" s="2" t="s">
        <v>98</v>
      </c>
      <c r="G15" s="2" t="s">
        <v>99</v>
      </c>
      <c r="H15" s="1" t="s">
        <v>100</v>
      </c>
      <c r="I15" s="1" t="s">
        <v>14</v>
      </c>
      <c r="J15" s="2" t="s">
        <v>30</v>
      </c>
      <c r="K15" s="13" t="str" cm="1">
        <f t="array" ref="K15">IFERROR(
_xlfn.XLOOKUP(
1,
(TRIM(CLEAN(SUBSTITUTE([1]Main!$F$2:$F$5000,CHAR(160)," ")))=
TRIM(CLEAN(SUBSTITUTE($B15,CHAR(160)," "))))
*
(--TEXT([1]Main!$N$2:$N$5000,"dd/mm/yyyy")=
--TEXT($C15,"dd/mm/yyyy")),
[1]Main!$C$2:$C$5000
),
_xlfn.XLOOKUP(
1,
(TRIM(CLEAN(SUBSTITUTE([2]Main!$F$2:$F$5000,CHAR(160)," ")))=
TRIM(CLEAN(SUBSTITUTE($B15,CHAR(160)," "))))
*
(--TEXT([2]Main!$N$2:$N$5000,"dd/mm/yyyy")=
--TEXT($C15,"dd/mm/yyyy")),
[2]Main!$C$2:$C$5000,
"Không tìm thấy"
)
)</f>
        <v>010099007906</v>
      </c>
      <c r="L15" s="13" t="str" cm="1">
        <f t="array" ref="L15">IFERROR(
_xlfn.XLOOKUP(
1,
(TRIM(CLEAN(SUBSTITUTE([1]Main!$F$2:$F$5000,CHAR(160)," ")))=
TRIM(CLEAN(SUBSTITUTE($B15,CHAR(160)," "))))
*
(--TEXT([1]Main!$N$2:$N$5000,"dd/mm/yyyy")=
--TEXT($C15,"dd/mm/yyyy")),
[1]Main!$Q$2:$Q$5000
),
_xlfn.XLOOKUP(
1,
(TRIM(CLEAN(SUBSTITUTE([2]Main!$F$2:$F$5000,CHAR(160)," ")))=
TRIM(CLEAN(SUBSTITUTE($B15,CHAR(160)," "))))
*
(--TEXT([2]Main!$N$2:$N$5000,"dd/mm/yyyy")=
--TEXT($C15,"dd/mm/yyyy")),
[2]Main!$Q$2:$Q$5000,
"Không tìm thấy"
)
)</f>
        <v>Nam</v>
      </c>
      <c r="M15" s="13" t="str" cm="1">
        <f t="array" ref="M15">IFERROR(
_xlfn.XLOOKUP(
1,
(TRIM(CLEAN(SUBSTITUTE([1]Main!$F$2:$F$5000,CHAR(160)," ")))=
TRIM(CLEAN(SUBSTITUTE($B15,CHAR(160)," "))))
*
(--TEXT([1]Main!$N$2:$N$5000,"dd/mm/yyyy")=
--TEXT($C15,"dd/mm/yyyy")),
[1]Main!$S$2:$S$5000
),
_xlfn.XLOOKUP(
1,
(TRIM(CLEAN(SUBSTITUTE([2]Main!$F$2:$F$5000,CHAR(160)," ")))=
TRIM(CLEAN(SUBSTITUTE($B15,CHAR(160)," "))))
*
(--TEXT([2]Main!$N$2:$N$5000,"dd/mm/yyyy")=
--TEXT($C15,"dd/mm/yyyy")),
[2]Main!$S$2:$S$5000,
"Không tìm thấy"
)
)</f>
        <v>VN</v>
      </c>
      <c r="N15" s="13" t="str" cm="1">
        <f t="array" ref="N15">IFERROR(
_xlfn.XLOOKUP(
1,
(TRIM(CLEAN(SUBSTITUTE([1]Main!$F$2:$F$5000,CHAR(160)," ")))=
TRIM(CLEAN(SUBSTITUTE($B15,CHAR(160)," "))))
*
(--TEXT([1]Main!$N$2:$N$5000,"dd/mm/yyyy")=
--TEXT($C15,"dd/mm/yyyy")),
[1]Main!$AL$2:$AL$5000
),
_xlfn.XLOOKUP(
1,
(TRIM(CLEAN(SUBSTITUTE([2]Main!$F$2:$F$5000,CHAR(160)," ")))=
TRIM(CLEAN(SUBSTITUTE($B15,CHAR(160)," "))))
*
(--TEXT([2]Main!$N$2:$N$5000,"dd/mm/yyyy")=
--TEXT($C15,"dd/mm/yyyy")),
[2]Main!$AL$2:$AL$5000,
"Không tìm thấy"
)
)</f>
        <v>Thành phố Hà Nội</v>
      </c>
      <c r="O15" s="10"/>
      <c r="P15" s="10"/>
      <c r="Q15" s="10"/>
      <c r="R15" s="10"/>
      <c r="S15" s="10"/>
      <c r="T15" s="3" t="s">
        <v>653</v>
      </c>
      <c r="U15" s="3"/>
      <c r="V15" s="3"/>
      <c r="W15" s="3" t="str">
        <f>IF(
    COUNTIFS(
        [1]Main!$F:$F,$B15,
        [1]Main!$N:$N,$C15
    )&gt;0,
    "Active",
    IF(
        COUNTIFS(
            [2]Main!$F:$F,$B15,
            [2]Main!$N:$N,$C15
        )&gt;0,
        "Inactive",
        "Không tìm thấy"
    )
)</f>
        <v>Inactive</v>
      </c>
      <c r="X15" s="15" cm="1">
        <f t="array" ref="X15">IFERROR(
_xlfn.XLOOKUP(
1,
(TRIM(CLEAN(SUBSTITUTE([2]Main!$F$2:$F$5000,CHAR(160)," ")))=
TRIM(CLEAN(SUBSTITUTE($B15,CHAR(160)," "))))
*
(--TEXT([2]Main!$N$2:$N$5000,"dd/mm/yyyy")=
--TEXT($C15,"dd/mm/yyyy")),
[2]Main!$AA$2:$AA$5000,
""
),
"")</f>
        <v>46091</v>
      </c>
      <c r="Y15" s="3"/>
      <c r="Z15" s="3"/>
      <c r="AA15" s="3"/>
      <c r="AB15" s="3"/>
    </row>
    <row r="16" spans="1:28" ht="38.25" customHeight="1" x14ac:dyDescent="0.25">
      <c r="A16" s="1">
        <v>15</v>
      </c>
      <c r="B16" s="2" t="s">
        <v>101</v>
      </c>
      <c r="C16" s="2" t="s">
        <v>102</v>
      </c>
      <c r="D16" s="2" t="s">
        <v>103</v>
      </c>
      <c r="E16" s="2" t="s">
        <v>104</v>
      </c>
      <c r="F16" s="2" t="s">
        <v>105</v>
      </c>
      <c r="G16" s="2" t="s">
        <v>106</v>
      </c>
      <c r="H16" s="1" t="s">
        <v>100</v>
      </c>
      <c r="I16" s="1" t="s">
        <v>14</v>
      </c>
      <c r="J16" s="2" t="s">
        <v>15</v>
      </c>
      <c r="K16" s="13" t="str" cm="1">
        <f t="array" ref="K16">IFERROR(
_xlfn.XLOOKUP(
1,
(TRIM(CLEAN(SUBSTITUTE([1]Main!$F$2:$F$5000,CHAR(160)," ")))=
TRIM(CLEAN(SUBSTITUTE($B16,CHAR(160)," "))))
*
(--TEXT([1]Main!$N$2:$N$5000,"dd/mm/yyyy")=
--TEXT($C16,"dd/mm/yyyy")),
[1]Main!$C$2:$C$5000
),
_xlfn.XLOOKUP(
1,
(TRIM(CLEAN(SUBSTITUTE([2]Main!$F$2:$F$5000,CHAR(160)," ")))=
TRIM(CLEAN(SUBSTITUTE($B16,CHAR(160)," "))))
*
(--TEXT([2]Main!$N$2:$N$5000,"dd/mm/yyyy")=
--TEXT($C16,"dd/mm/yyyy")),
[2]Main!$C$2:$C$5000,
"Không tìm thấy"
)
)</f>
        <v>038303022059</v>
      </c>
      <c r="L16" s="13" t="str" cm="1">
        <f t="array" ref="L16">IFERROR(
_xlfn.XLOOKUP(
1,
(TRIM(CLEAN(SUBSTITUTE([1]Main!$F$2:$F$5000,CHAR(160)," ")))=
TRIM(CLEAN(SUBSTITUTE($B16,CHAR(160)," "))))
*
(--TEXT([1]Main!$N$2:$N$5000,"dd/mm/yyyy")=
--TEXT($C16,"dd/mm/yyyy")),
[1]Main!$Q$2:$Q$5000
),
_xlfn.XLOOKUP(
1,
(TRIM(CLEAN(SUBSTITUTE([2]Main!$F$2:$F$5000,CHAR(160)," ")))=
TRIM(CLEAN(SUBSTITUTE($B16,CHAR(160)," "))))
*
(--TEXT([2]Main!$N$2:$N$5000,"dd/mm/yyyy")=
--TEXT($C16,"dd/mm/yyyy")),
[2]Main!$Q$2:$Q$5000,
"Không tìm thấy"
)
)</f>
        <v>Nữ</v>
      </c>
      <c r="M16" s="13" t="str" cm="1">
        <f t="array" ref="M16">IFERROR(
_xlfn.XLOOKUP(
1,
(TRIM(CLEAN(SUBSTITUTE([1]Main!$F$2:$F$5000,CHAR(160)," ")))=
TRIM(CLEAN(SUBSTITUTE($B16,CHAR(160)," "))))
*
(--TEXT([1]Main!$N$2:$N$5000,"dd/mm/yyyy")=
--TEXT($C16,"dd/mm/yyyy")),
[1]Main!$S$2:$S$5000
),
_xlfn.XLOOKUP(
1,
(TRIM(CLEAN(SUBSTITUTE([2]Main!$F$2:$F$5000,CHAR(160)," ")))=
TRIM(CLEAN(SUBSTITUTE($B16,CHAR(160)," "))))
*
(--TEXT([2]Main!$N$2:$N$5000,"dd/mm/yyyy")=
--TEXT($C16,"dd/mm/yyyy")),
[2]Main!$S$2:$S$5000,
"Không tìm thấy"
)
)</f>
        <v>VN</v>
      </c>
      <c r="N16" s="13" t="str" cm="1">
        <f t="array" ref="N16">IFERROR(
_xlfn.XLOOKUP(
1,
(TRIM(CLEAN(SUBSTITUTE([1]Main!$F$2:$F$5000,CHAR(160)," ")))=
TRIM(CLEAN(SUBSTITUTE($B16,CHAR(160)," "))))
*
(--TEXT([1]Main!$N$2:$N$5000,"dd/mm/yyyy")=
--TEXT($C16,"dd/mm/yyyy")),
[1]Main!$AL$2:$AL$5000
),
_xlfn.XLOOKUP(
1,
(TRIM(CLEAN(SUBSTITUTE([2]Main!$F$2:$F$5000,CHAR(160)," ")))=
TRIM(CLEAN(SUBSTITUTE($B16,CHAR(160)," "))))
*
(--TEXT([2]Main!$N$2:$N$5000,"dd/mm/yyyy")=
--TEXT($C16,"dd/mm/yyyy")),
[2]Main!$AL$2:$AL$5000,
"Không tìm thấy"
)
)</f>
        <v>Thành phố Hà Nội</v>
      </c>
      <c r="O16" s="10"/>
      <c r="P16" s="10"/>
      <c r="Q16" s="10"/>
      <c r="R16" s="10"/>
      <c r="S16" s="10"/>
      <c r="T16" s="3" t="s">
        <v>653</v>
      </c>
      <c r="U16" s="3"/>
      <c r="V16" s="3"/>
      <c r="W16" s="3" t="str">
        <f>IF(
    COUNTIFS(
        [1]Main!$F:$F,$B16,
        [1]Main!$N:$N,$C16
    )&gt;0,
    "Active",
    IF(
        COUNTIFS(
            [2]Main!$F:$F,$B16,
            [2]Main!$N:$N,$C16
        )&gt;0,
        "Inactive",
        "Không tìm thấy"
    )
)</f>
        <v>Inactive</v>
      </c>
      <c r="X16" s="15" cm="1">
        <f t="array" ref="X16">IFERROR(
_xlfn.XLOOKUP(
1,
(TRIM(CLEAN(SUBSTITUTE([2]Main!$F$2:$F$5000,CHAR(160)," ")))=
TRIM(CLEAN(SUBSTITUTE($B16,CHAR(160)," "))))
*
(--TEXT([2]Main!$N$2:$N$5000,"dd/mm/yyyy")=
--TEXT($C16,"dd/mm/yyyy")),
[2]Main!$AA$2:$AA$5000,
""
),
"")</f>
        <v>45908</v>
      </c>
      <c r="Y16" s="3"/>
      <c r="Z16" s="3"/>
      <c r="AA16" s="3"/>
      <c r="AB16" s="3"/>
    </row>
    <row r="17" spans="1:28" ht="38.25" customHeight="1" x14ac:dyDescent="0.25">
      <c r="A17" s="1">
        <v>16</v>
      </c>
      <c r="B17" s="2" t="s">
        <v>107</v>
      </c>
      <c r="C17" s="2" t="s">
        <v>108</v>
      </c>
      <c r="D17" s="2" t="s">
        <v>109</v>
      </c>
      <c r="E17" s="2" t="s">
        <v>110</v>
      </c>
      <c r="F17" s="2" t="s">
        <v>111</v>
      </c>
      <c r="G17" s="2" t="s">
        <v>112</v>
      </c>
      <c r="H17" s="1" t="s">
        <v>113</v>
      </c>
      <c r="I17" s="1" t="s">
        <v>14</v>
      </c>
      <c r="J17" s="2" t="s">
        <v>30</v>
      </c>
      <c r="K17" s="13" t="str" cm="1">
        <f t="array" ref="K17">IFERROR(
_xlfn.XLOOKUP(
1,
(TRIM(CLEAN(SUBSTITUTE([1]Main!$F$2:$F$5000,CHAR(160)," ")))=
TRIM(CLEAN(SUBSTITUTE($B17,CHAR(160)," "))))
*
(--TEXT([1]Main!$N$2:$N$5000,"dd/mm/yyyy")=
--TEXT($C17,"dd/mm/yyyy")),
[1]Main!$C$2:$C$5000
),
_xlfn.XLOOKUP(
1,
(TRIM(CLEAN(SUBSTITUTE([2]Main!$F$2:$F$5000,CHAR(160)," ")))=
TRIM(CLEAN(SUBSTITUTE($B17,CHAR(160)," "))))
*
(--TEXT([2]Main!$N$2:$N$5000,"dd/mm/yyyy")=
--TEXT($C17,"dd/mm/yyyy")),
[2]Main!$C$2:$C$5000,
"Không tìm thấy"
)
)</f>
        <v>035199001328</v>
      </c>
      <c r="L17" s="13" t="str" cm="1">
        <f t="array" ref="L17">IFERROR(
_xlfn.XLOOKUP(
1,
(TRIM(CLEAN(SUBSTITUTE([1]Main!$F$2:$F$5000,CHAR(160)," ")))=
TRIM(CLEAN(SUBSTITUTE($B17,CHAR(160)," "))))
*
(--TEXT([1]Main!$N$2:$N$5000,"dd/mm/yyyy")=
--TEXT($C17,"dd/mm/yyyy")),
[1]Main!$Q$2:$Q$5000
),
_xlfn.XLOOKUP(
1,
(TRIM(CLEAN(SUBSTITUTE([2]Main!$F$2:$F$5000,CHAR(160)," ")))=
TRIM(CLEAN(SUBSTITUTE($B17,CHAR(160)," "))))
*
(--TEXT([2]Main!$N$2:$N$5000,"dd/mm/yyyy")=
--TEXT($C17,"dd/mm/yyyy")),
[2]Main!$Q$2:$Q$5000,
"Không tìm thấy"
)
)</f>
        <v>Nữ</v>
      </c>
      <c r="M17" s="13" t="str" cm="1">
        <f t="array" ref="M17">IFERROR(
_xlfn.XLOOKUP(
1,
(TRIM(CLEAN(SUBSTITUTE([1]Main!$F$2:$F$5000,CHAR(160)," ")))=
TRIM(CLEAN(SUBSTITUTE($B17,CHAR(160)," "))))
*
(--TEXT([1]Main!$N$2:$N$5000,"dd/mm/yyyy")=
--TEXT($C17,"dd/mm/yyyy")),
[1]Main!$S$2:$S$5000
),
_xlfn.XLOOKUP(
1,
(TRIM(CLEAN(SUBSTITUTE([2]Main!$F$2:$F$5000,CHAR(160)," ")))=
TRIM(CLEAN(SUBSTITUTE($B17,CHAR(160)," "))))
*
(--TEXT([2]Main!$N$2:$N$5000,"dd/mm/yyyy")=
--TEXT($C17,"dd/mm/yyyy")),
[2]Main!$S$2:$S$5000,
"Không tìm thấy"
)
)</f>
        <v>VN</v>
      </c>
      <c r="N17" s="13" t="str" cm="1">
        <f t="array" ref="N17">IFERROR(
_xlfn.XLOOKUP(
1,
(TRIM(CLEAN(SUBSTITUTE([1]Main!$F$2:$F$5000,CHAR(160)," ")))=
TRIM(CLEAN(SUBSTITUTE($B17,CHAR(160)," "))))
*
(--TEXT([1]Main!$N$2:$N$5000,"dd/mm/yyyy")=
--TEXT($C17,"dd/mm/yyyy")),
[1]Main!$AL$2:$AL$5000
),
_xlfn.XLOOKUP(
1,
(TRIM(CLEAN(SUBSTITUTE([2]Main!$F$2:$F$5000,CHAR(160)," ")))=
TRIM(CLEAN(SUBSTITUTE($B17,CHAR(160)," "))))
*
(--TEXT([2]Main!$N$2:$N$5000,"dd/mm/yyyy")=
--TEXT($C17,"dd/mm/yyyy")),
[2]Main!$AL$2:$AL$5000,
"Không tìm thấy"
)
)</f>
        <v>Thành phố Hà Nội</v>
      </c>
      <c r="O17" s="10"/>
      <c r="P17" s="10"/>
      <c r="Q17" s="10"/>
      <c r="R17" s="10"/>
      <c r="S17" s="10"/>
      <c r="T17" s="3" t="s">
        <v>653</v>
      </c>
      <c r="U17" s="3"/>
      <c r="V17" s="3"/>
      <c r="W17" s="3" t="str">
        <f>IF(
    COUNTIFS(
        [1]Main!$F:$F,$B17,
        [1]Main!$N:$N,$C17
    )&gt;0,
    "Active",
    IF(
        COUNTIFS(
            [2]Main!$F:$F,$B17,
            [2]Main!$N:$N,$C17
        )&gt;0,
        "Inactive",
        "Không tìm thấy"
    )
)</f>
        <v>Active</v>
      </c>
      <c r="X17" s="15" t="str" cm="1">
        <f t="array" ref="X17">IFERROR(
_xlfn.XLOOKUP(
1,
(TRIM(CLEAN(SUBSTITUTE([2]Main!$F$2:$F$5000,CHAR(160)," ")))=
TRIM(CLEAN(SUBSTITUTE($B17,CHAR(160)," "))))
*
(--TEXT([2]Main!$N$2:$N$5000,"dd/mm/yyyy")=
--TEXT($C17,"dd/mm/yyyy")),
[2]Main!$AA$2:$AA$5000,
""
),
"")</f>
        <v/>
      </c>
      <c r="Y17" s="3"/>
      <c r="Z17" s="3"/>
      <c r="AA17" s="3"/>
      <c r="AB17" s="3"/>
    </row>
    <row r="18" spans="1:28" ht="38.25" customHeight="1" x14ac:dyDescent="0.25">
      <c r="A18" s="1">
        <v>17</v>
      </c>
      <c r="B18" s="2" t="s">
        <v>114</v>
      </c>
      <c r="C18" s="2" t="s">
        <v>115</v>
      </c>
      <c r="D18" s="2" t="s">
        <v>116</v>
      </c>
      <c r="E18" s="2" t="s">
        <v>117</v>
      </c>
      <c r="F18" s="2" t="s">
        <v>118</v>
      </c>
      <c r="G18" s="2" t="s">
        <v>119</v>
      </c>
      <c r="H18" s="1" t="s">
        <v>113</v>
      </c>
      <c r="I18" s="1" t="s">
        <v>14</v>
      </c>
      <c r="J18" s="2" t="s">
        <v>39</v>
      </c>
      <c r="K18" s="13" t="str" cm="1">
        <f t="array" ref="K18">IFERROR(
_xlfn.XLOOKUP(
1,
(TRIM(CLEAN(SUBSTITUTE([1]Main!$F$2:$F$5000,CHAR(160)," ")))=
TRIM(CLEAN(SUBSTITUTE($B18,CHAR(160)," "))))
*
(--TEXT([1]Main!$N$2:$N$5000,"dd/mm/yyyy")=
--TEXT($C18,"dd/mm/yyyy")),
[1]Main!$C$2:$C$5000
),
_xlfn.XLOOKUP(
1,
(TRIM(CLEAN(SUBSTITUTE([2]Main!$F$2:$F$5000,CHAR(160)," ")))=
TRIM(CLEAN(SUBSTITUTE($B18,CHAR(160)," "))))
*
(--TEXT([2]Main!$N$2:$N$5000,"dd/mm/yyyy")=
--TEXT($C18,"dd/mm/yyyy")),
[2]Main!$C$2:$C$5000,
"Không tìm thấy"
)
)</f>
        <v>8683174370</v>
      </c>
      <c r="L18" s="13" t="str" cm="1">
        <f t="array" ref="L18">IFERROR(
_xlfn.XLOOKUP(
1,
(TRIM(CLEAN(SUBSTITUTE([1]Main!$F$2:$F$5000,CHAR(160)," ")))=
TRIM(CLEAN(SUBSTITUTE($B18,CHAR(160)," "))))
*
(--TEXT([1]Main!$N$2:$N$5000,"dd/mm/yyyy")=
--TEXT($C18,"dd/mm/yyyy")),
[1]Main!$Q$2:$Q$5000
),
_xlfn.XLOOKUP(
1,
(TRIM(CLEAN(SUBSTITUTE([2]Main!$F$2:$F$5000,CHAR(160)," ")))=
TRIM(CLEAN(SUBSTITUTE($B18,CHAR(160)," "))))
*
(--TEXT([2]Main!$N$2:$N$5000,"dd/mm/yyyy")=
--TEXT($C18,"dd/mm/yyyy")),
[2]Main!$Q$2:$Q$5000,
"Không tìm thấy"
)
)</f>
        <v>Nữ</v>
      </c>
      <c r="M18" s="13" t="str" cm="1">
        <f t="array" ref="M18">IFERROR(
_xlfn.XLOOKUP(
1,
(TRIM(CLEAN(SUBSTITUTE([1]Main!$F$2:$F$5000,CHAR(160)," ")))=
TRIM(CLEAN(SUBSTITUTE($B18,CHAR(160)," "))))
*
(--TEXT([1]Main!$N$2:$N$5000,"dd/mm/yyyy")=
--TEXT($C18,"dd/mm/yyyy")),
[1]Main!$S$2:$S$5000
),
_xlfn.XLOOKUP(
1,
(TRIM(CLEAN(SUBSTITUTE([2]Main!$F$2:$F$5000,CHAR(160)," ")))=
TRIM(CLEAN(SUBSTITUTE($B18,CHAR(160)," "))))
*
(--TEXT([2]Main!$N$2:$N$5000,"dd/mm/yyyy")=
--TEXT($C18,"dd/mm/yyyy")),
[2]Main!$S$2:$S$5000,
"Không tìm thấy"
)
)</f>
        <v>VN</v>
      </c>
      <c r="N18" s="13" t="str" cm="1">
        <f t="array" ref="N18">IFERROR(
_xlfn.XLOOKUP(
1,
(TRIM(CLEAN(SUBSTITUTE([1]Main!$F$2:$F$5000,CHAR(160)," ")))=
TRIM(CLEAN(SUBSTITUTE($B18,CHAR(160)," "))))
*
(--TEXT([1]Main!$N$2:$N$5000,"dd/mm/yyyy")=
--TEXT($C18,"dd/mm/yyyy")),
[1]Main!$AL$2:$AL$5000
),
_xlfn.XLOOKUP(
1,
(TRIM(CLEAN(SUBSTITUTE([2]Main!$F$2:$F$5000,CHAR(160)," ")))=
TRIM(CLEAN(SUBSTITUTE($B18,CHAR(160)," "))))
*
(--TEXT([2]Main!$N$2:$N$5000,"dd/mm/yyyy")=
--TEXT($C18,"dd/mm/yyyy")),
[2]Main!$AL$2:$AL$5000,
"Không tìm thấy"
)
)</f>
        <v>Thành phố Hà Nội</v>
      </c>
      <c r="O18" s="10"/>
      <c r="P18" s="10"/>
      <c r="Q18" s="10"/>
      <c r="R18" s="10"/>
      <c r="S18" s="10"/>
      <c r="T18" s="3" t="s">
        <v>653</v>
      </c>
      <c r="U18" s="3"/>
      <c r="V18" s="3"/>
      <c r="W18" s="3" t="str">
        <f>IF(
    COUNTIFS(
        [1]Main!$F:$F,$B18,
        [1]Main!$N:$N,$C18
    )&gt;0,
    "Active",
    IF(
        COUNTIFS(
            [2]Main!$F:$F,$B18,
            [2]Main!$N:$N,$C18
        )&gt;0,
        "Inactive",
        "Không tìm thấy"
    )
)</f>
        <v>Active</v>
      </c>
      <c r="X18" s="15" t="str" cm="1">
        <f t="array" ref="X18">IFERROR(
_xlfn.XLOOKUP(
1,
(TRIM(CLEAN(SUBSTITUTE([2]Main!$F$2:$F$5000,CHAR(160)," ")))=
TRIM(CLEAN(SUBSTITUTE($B18,CHAR(160)," "))))
*
(--TEXT([2]Main!$N$2:$N$5000,"dd/mm/yyyy")=
--TEXT($C18,"dd/mm/yyyy")),
[2]Main!$AA$2:$AA$5000,
""
),
"")</f>
        <v/>
      </c>
      <c r="Y18" s="3"/>
      <c r="Z18" s="3"/>
      <c r="AA18" s="3"/>
      <c r="AB18" s="3"/>
    </row>
    <row r="19" spans="1:28" ht="38.25" customHeight="1" x14ac:dyDescent="0.25">
      <c r="A19" s="1">
        <v>18</v>
      </c>
      <c r="B19" s="2" t="s">
        <v>120</v>
      </c>
      <c r="C19" s="2" t="s">
        <v>121</v>
      </c>
      <c r="D19" s="2" t="s">
        <v>122</v>
      </c>
      <c r="E19" s="2" t="s">
        <v>123</v>
      </c>
      <c r="F19" s="2" t="s">
        <v>124</v>
      </c>
      <c r="G19" s="2" t="s">
        <v>48</v>
      </c>
      <c r="H19" s="1" t="s">
        <v>125</v>
      </c>
      <c r="I19" s="1" t="s">
        <v>38</v>
      </c>
      <c r="J19" s="2" t="s">
        <v>126</v>
      </c>
      <c r="K19" s="13" t="str" cm="1">
        <f t="array" ref="K19">IFERROR(
_xlfn.XLOOKUP(
1,
(TRIM(CLEAN(SUBSTITUTE([1]Main!$F$2:$F$5000,CHAR(160)," ")))=
TRIM(CLEAN(SUBSTITUTE($B19,CHAR(160)," "))))
*
(--TEXT([1]Main!$N$2:$N$5000,"dd/mm/yyyy")=
--TEXT($C19,"dd/mm/yyyy")),
[1]Main!$C$2:$C$5000
),
_xlfn.XLOOKUP(
1,
(TRIM(CLEAN(SUBSTITUTE([2]Main!$F$2:$F$5000,CHAR(160)," ")))=
TRIM(CLEAN(SUBSTITUTE($B19,CHAR(160)," "))))
*
(--TEXT([2]Main!$N$2:$N$5000,"dd/mm/yyyy")=
--TEXT($C19,"dd/mm/yyyy")),
[2]Main!$C$2:$C$5000,
"Không tìm thấy"
)
)</f>
        <v>8882333346</v>
      </c>
      <c r="L19" s="13" t="str" cm="1">
        <f t="array" ref="L19">IFERROR(
_xlfn.XLOOKUP(
1,
(TRIM(CLEAN(SUBSTITUTE([1]Main!$F$2:$F$5000,CHAR(160)," ")))=
TRIM(CLEAN(SUBSTITUTE($B19,CHAR(160)," "))))
*
(--TEXT([1]Main!$N$2:$N$5000,"dd/mm/yyyy")=
--TEXT($C19,"dd/mm/yyyy")),
[1]Main!$Q$2:$Q$5000
),
_xlfn.XLOOKUP(
1,
(TRIM(CLEAN(SUBSTITUTE([2]Main!$F$2:$F$5000,CHAR(160)," ")))=
TRIM(CLEAN(SUBSTITUTE($B19,CHAR(160)," "))))
*
(--TEXT([2]Main!$N$2:$N$5000,"dd/mm/yyyy")=
--TEXT($C19,"dd/mm/yyyy")),
[2]Main!$Q$2:$Q$5000,
"Không tìm thấy"
)
)</f>
        <v>Nữ</v>
      </c>
      <c r="M19" s="13" t="str" cm="1">
        <f t="array" ref="M19">IFERROR(
_xlfn.XLOOKUP(
1,
(TRIM(CLEAN(SUBSTITUTE([1]Main!$F$2:$F$5000,CHAR(160)," ")))=
TRIM(CLEAN(SUBSTITUTE($B19,CHAR(160)," "))))
*
(--TEXT([1]Main!$N$2:$N$5000,"dd/mm/yyyy")=
--TEXT($C19,"dd/mm/yyyy")),
[1]Main!$S$2:$S$5000
),
_xlfn.XLOOKUP(
1,
(TRIM(CLEAN(SUBSTITUTE([2]Main!$F$2:$F$5000,CHAR(160)," ")))=
TRIM(CLEAN(SUBSTITUTE($B19,CHAR(160)," "))))
*
(--TEXT([2]Main!$N$2:$N$5000,"dd/mm/yyyy")=
--TEXT($C19,"dd/mm/yyyy")),
[2]Main!$S$2:$S$5000,
"Không tìm thấy"
)
)</f>
        <v>VN</v>
      </c>
      <c r="N19" s="13" t="str" cm="1">
        <f t="array" ref="N19">IFERROR(
_xlfn.XLOOKUP(
1,
(TRIM(CLEAN(SUBSTITUTE([1]Main!$F$2:$F$5000,CHAR(160)," ")))=
TRIM(CLEAN(SUBSTITUTE($B19,CHAR(160)," "))))
*
(--TEXT([1]Main!$N$2:$N$5000,"dd/mm/yyyy")=
--TEXT($C19,"dd/mm/yyyy")),
[1]Main!$AL$2:$AL$5000
),
_xlfn.XLOOKUP(
1,
(TRIM(CLEAN(SUBSTITUTE([2]Main!$F$2:$F$5000,CHAR(160)," ")))=
TRIM(CLEAN(SUBSTITUTE($B19,CHAR(160)," "))))
*
(--TEXT([2]Main!$N$2:$N$5000,"dd/mm/yyyy")=
--TEXT($C19,"dd/mm/yyyy")),
[2]Main!$AL$2:$AL$5000,
"Không tìm thấy"
)
)</f>
        <v>Thành phố Hà Nội</v>
      </c>
      <c r="O19" s="10"/>
      <c r="P19" s="10"/>
      <c r="Q19" s="10"/>
      <c r="R19" s="10"/>
      <c r="S19" s="10"/>
      <c r="T19" s="3" t="s">
        <v>653</v>
      </c>
      <c r="U19" s="3"/>
      <c r="V19" s="3"/>
      <c r="W19" s="3" t="str">
        <f>IF(
    COUNTIFS(
        [1]Main!$F:$F,$B19,
        [1]Main!$N:$N,$C19
    )&gt;0,
    "Active",
    IF(
        COUNTIFS(
            [2]Main!$F:$F,$B19,
            [2]Main!$N:$N,$C19
        )&gt;0,
        "Inactive",
        "Không tìm thấy"
    )
)</f>
        <v>Active</v>
      </c>
      <c r="X19" s="15" t="str" cm="1">
        <f t="array" ref="X19">IFERROR(
_xlfn.XLOOKUP(
1,
(TRIM(CLEAN(SUBSTITUTE([2]Main!$F$2:$F$5000,CHAR(160)," ")))=
TRIM(CLEAN(SUBSTITUTE($B19,CHAR(160)," "))))
*
(--TEXT([2]Main!$N$2:$N$5000,"dd/mm/yyyy")=
--TEXT($C19,"dd/mm/yyyy")),
[2]Main!$AA$2:$AA$5000,
""
),
"")</f>
        <v/>
      </c>
      <c r="Y19" s="3"/>
      <c r="Z19" s="3"/>
      <c r="AA19" s="3"/>
      <c r="AB19" s="3"/>
    </row>
    <row r="20" spans="1:28" ht="38.25" customHeight="1" x14ac:dyDescent="0.25">
      <c r="A20" s="1">
        <v>19</v>
      </c>
      <c r="B20" s="2" t="s">
        <v>127</v>
      </c>
      <c r="C20" s="2" t="s">
        <v>128</v>
      </c>
      <c r="D20" s="2" t="s">
        <v>129</v>
      </c>
      <c r="E20" s="2" t="s">
        <v>130</v>
      </c>
      <c r="F20" s="2" t="s">
        <v>131</v>
      </c>
      <c r="G20" s="2" t="s">
        <v>132</v>
      </c>
      <c r="H20" s="1" t="s">
        <v>133</v>
      </c>
      <c r="I20" s="1" t="s">
        <v>38</v>
      </c>
      <c r="J20" s="2" t="s">
        <v>70</v>
      </c>
      <c r="K20" s="13" t="str" cm="1">
        <f t="array" ref="K20">IFERROR(
_xlfn.XLOOKUP(
1,
(TRIM(CLEAN(SUBSTITUTE([1]Main!$F$2:$F$5000,CHAR(160)," ")))=
TRIM(CLEAN(SUBSTITUTE($B20,CHAR(160)," "))))
*
(--TEXT([1]Main!$N$2:$N$5000,"dd/mm/yyyy")=
--TEXT($C20,"dd/mm/yyyy")),
[1]Main!$C$2:$C$5000
),
_xlfn.XLOOKUP(
1,
(TRIM(CLEAN(SUBSTITUTE([2]Main!$F$2:$F$5000,CHAR(160)," ")))=
TRIM(CLEAN(SUBSTITUTE($B20,CHAR(160)," "))))
*
(--TEXT([2]Main!$N$2:$N$5000,"dd/mm/yyyy")=
--TEXT($C20,"dd/mm/yyyy")),
[2]Main!$C$2:$C$5000,
"Không tìm thấy"
)
)</f>
        <v>033200000289</v>
      </c>
      <c r="L20" s="13" t="str" cm="1">
        <f t="array" ref="L20">IFERROR(
_xlfn.XLOOKUP(
1,
(TRIM(CLEAN(SUBSTITUTE([1]Main!$F$2:$F$5000,CHAR(160)," ")))=
TRIM(CLEAN(SUBSTITUTE($B20,CHAR(160)," "))))
*
(--TEXT([1]Main!$N$2:$N$5000,"dd/mm/yyyy")=
--TEXT($C20,"dd/mm/yyyy")),
[1]Main!$Q$2:$Q$5000
),
_xlfn.XLOOKUP(
1,
(TRIM(CLEAN(SUBSTITUTE([2]Main!$F$2:$F$5000,CHAR(160)," ")))=
TRIM(CLEAN(SUBSTITUTE($B20,CHAR(160)," "))))
*
(--TEXT([2]Main!$N$2:$N$5000,"dd/mm/yyyy")=
--TEXT($C20,"dd/mm/yyyy")),
[2]Main!$Q$2:$Q$5000,
"Không tìm thấy"
)
)</f>
        <v>Nam</v>
      </c>
      <c r="M20" s="13" t="str" cm="1">
        <f t="array" ref="M20">IFERROR(
_xlfn.XLOOKUP(
1,
(TRIM(CLEAN(SUBSTITUTE([1]Main!$F$2:$F$5000,CHAR(160)," ")))=
TRIM(CLEAN(SUBSTITUTE($B20,CHAR(160)," "))))
*
(--TEXT([1]Main!$N$2:$N$5000,"dd/mm/yyyy")=
--TEXT($C20,"dd/mm/yyyy")),
[1]Main!$S$2:$S$5000
),
_xlfn.XLOOKUP(
1,
(TRIM(CLEAN(SUBSTITUTE([2]Main!$F$2:$F$5000,CHAR(160)," ")))=
TRIM(CLEAN(SUBSTITUTE($B20,CHAR(160)," "))))
*
(--TEXT([2]Main!$N$2:$N$5000,"dd/mm/yyyy")=
--TEXT($C20,"dd/mm/yyyy")),
[2]Main!$S$2:$S$5000,
"Không tìm thấy"
)
)</f>
        <v>VN</v>
      </c>
      <c r="N20" s="13" t="str" cm="1">
        <f t="array" ref="N20">IFERROR(
_xlfn.XLOOKUP(
1,
(TRIM(CLEAN(SUBSTITUTE([1]Main!$F$2:$F$5000,CHAR(160)," ")))=
TRIM(CLEAN(SUBSTITUTE($B20,CHAR(160)," "))))
*
(--TEXT([1]Main!$N$2:$N$5000,"dd/mm/yyyy")=
--TEXT($C20,"dd/mm/yyyy")),
[1]Main!$AL$2:$AL$5000
),
_xlfn.XLOOKUP(
1,
(TRIM(CLEAN(SUBSTITUTE([2]Main!$F$2:$F$5000,CHAR(160)," ")))=
TRIM(CLEAN(SUBSTITUTE($B20,CHAR(160)," "))))
*
(--TEXT([2]Main!$N$2:$N$5000,"dd/mm/yyyy")=
--TEXT($C20,"dd/mm/yyyy")),
[2]Main!$AL$2:$AL$5000,
"Không tìm thấy"
)
)</f>
        <v>Thành phố Hà Nội</v>
      </c>
      <c r="O20" s="10"/>
      <c r="P20" s="10"/>
      <c r="Q20" s="10"/>
      <c r="R20" s="10"/>
      <c r="S20" s="10"/>
      <c r="T20" s="3" t="s">
        <v>653</v>
      </c>
      <c r="U20" s="3"/>
      <c r="V20" s="3"/>
      <c r="W20" s="3" t="str">
        <f>IF(
    COUNTIFS(
        [1]Main!$F:$F,$B20,
        [1]Main!$N:$N,$C20
    )&gt;0,
    "Active",
    IF(
        COUNTIFS(
            [2]Main!$F:$F,$B20,
            [2]Main!$N:$N,$C20
        )&gt;0,
        "Inactive",
        "Không tìm thấy"
    )
)</f>
        <v>Active</v>
      </c>
      <c r="X20" s="15" t="str" cm="1">
        <f t="array" ref="X20">IFERROR(
_xlfn.XLOOKUP(
1,
(TRIM(CLEAN(SUBSTITUTE([2]Main!$F$2:$F$5000,CHAR(160)," ")))=
TRIM(CLEAN(SUBSTITUTE($B20,CHAR(160)," "))))
*
(--TEXT([2]Main!$N$2:$N$5000,"dd/mm/yyyy")=
--TEXT($C20,"dd/mm/yyyy")),
[2]Main!$AA$2:$AA$5000,
""
),
"")</f>
        <v/>
      </c>
      <c r="Y20" s="3"/>
      <c r="Z20" s="3"/>
      <c r="AA20" s="3"/>
      <c r="AB20" s="3"/>
    </row>
    <row r="21" spans="1:28" ht="38.25" customHeight="1" x14ac:dyDescent="0.25">
      <c r="A21" s="1">
        <v>20</v>
      </c>
      <c r="B21" s="2" t="s">
        <v>134</v>
      </c>
      <c r="C21" s="2" t="s">
        <v>135</v>
      </c>
      <c r="D21" s="2" t="s">
        <v>136</v>
      </c>
      <c r="E21" s="2" t="s">
        <v>104</v>
      </c>
      <c r="F21" s="2" t="s">
        <v>105</v>
      </c>
      <c r="G21" s="2" t="s">
        <v>106</v>
      </c>
      <c r="H21" s="1" t="s">
        <v>137</v>
      </c>
      <c r="I21" s="1" t="s">
        <v>14</v>
      </c>
      <c r="J21" s="2" t="s">
        <v>15</v>
      </c>
      <c r="K21" s="13" t="str" cm="1">
        <f t="array" ref="K21">IFERROR(
_xlfn.XLOOKUP(
1,
(TRIM(CLEAN(SUBSTITUTE([1]Main!$F$2:$F$5000,CHAR(160)," ")))=
TRIM(CLEAN(SUBSTITUTE($B21,CHAR(160)," "))))
*
(--TEXT([1]Main!$N$2:$N$5000,"dd/mm/yyyy")=
--TEXT($C21,"dd/mm/yyyy")),
[1]Main!$C$2:$C$5000
),
_xlfn.XLOOKUP(
1,
(TRIM(CLEAN(SUBSTITUTE([2]Main!$F$2:$F$5000,CHAR(160)," ")))=
TRIM(CLEAN(SUBSTITUTE($B21,CHAR(160)," "))))
*
(--TEXT([2]Main!$N$2:$N$5000,"dd/mm/yyyy")=
--TEXT($C21,"dd/mm/yyyy")),
[2]Main!$C$2:$C$5000,
"Không tìm thấy"
)
)</f>
        <v>027304011868</v>
      </c>
      <c r="L21" s="13" t="str" cm="1">
        <f t="array" ref="L21">IFERROR(
_xlfn.XLOOKUP(
1,
(TRIM(CLEAN(SUBSTITUTE([1]Main!$F$2:$F$5000,CHAR(160)," ")))=
TRIM(CLEAN(SUBSTITUTE($B21,CHAR(160)," "))))
*
(--TEXT([1]Main!$N$2:$N$5000,"dd/mm/yyyy")=
--TEXT($C21,"dd/mm/yyyy")),
[1]Main!$Q$2:$Q$5000
),
_xlfn.XLOOKUP(
1,
(TRIM(CLEAN(SUBSTITUTE([2]Main!$F$2:$F$5000,CHAR(160)," ")))=
TRIM(CLEAN(SUBSTITUTE($B21,CHAR(160)," "))))
*
(--TEXT([2]Main!$N$2:$N$5000,"dd/mm/yyyy")=
--TEXT($C21,"dd/mm/yyyy")),
[2]Main!$Q$2:$Q$5000,
"Không tìm thấy"
)
)</f>
        <v>Nữ</v>
      </c>
      <c r="M21" s="13" t="str" cm="1">
        <f t="array" ref="M21">IFERROR(
_xlfn.XLOOKUP(
1,
(TRIM(CLEAN(SUBSTITUTE([1]Main!$F$2:$F$5000,CHAR(160)," ")))=
TRIM(CLEAN(SUBSTITUTE($B21,CHAR(160)," "))))
*
(--TEXT([1]Main!$N$2:$N$5000,"dd/mm/yyyy")=
--TEXT($C21,"dd/mm/yyyy")),
[1]Main!$S$2:$S$5000
),
_xlfn.XLOOKUP(
1,
(TRIM(CLEAN(SUBSTITUTE([2]Main!$F$2:$F$5000,CHAR(160)," ")))=
TRIM(CLEAN(SUBSTITUTE($B21,CHAR(160)," "))))
*
(--TEXT([2]Main!$N$2:$N$5000,"dd/mm/yyyy")=
--TEXT($C21,"dd/mm/yyyy")),
[2]Main!$S$2:$S$5000,
"Không tìm thấy"
)
)</f>
        <v>VN</v>
      </c>
      <c r="N21" s="13" t="str" cm="1">
        <f t="array" ref="N21">IFERROR(
_xlfn.XLOOKUP(
1,
(TRIM(CLEAN(SUBSTITUTE([1]Main!$F$2:$F$5000,CHAR(160)," ")))=
TRIM(CLEAN(SUBSTITUTE($B21,CHAR(160)," "))))
*
(--TEXT([1]Main!$N$2:$N$5000,"dd/mm/yyyy")=
--TEXT($C21,"dd/mm/yyyy")),
[1]Main!$AL$2:$AL$5000
),
_xlfn.XLOOKUP(
1,
(TRIM(CLEAN(SUBSTITUTE([2]Main!$F$2:$F$5000,CHAR(160)," ")))=
TRIM(CLEAN(SUBSTITUTE($B21,CHAR(160)," "))))
*
(--TEXT([2]Main!$N$2:$N$5000,"dd/mm/yyyy")=
--TEXT($C21,"dd/mm/yyyy")),
[2]Main!$AL$2:$AL$5000,
"Không tìm thấy"
)
)</f>
        <v>Thành phố Hà Nội</v>
      </c>
      <c r="O21" s="10"/>
      <c r="P21" s="10"/>
      <c r="Q21" s="10"/>
      <c r="R21" s="10"/>
      <c r="S21" s="10"/>
      <c r="T21" s="3" t="s">
        <v>653</v>
      </c>
      <c r="U21" s="3"/>
      <c r="V21" s="3"/>
      <c r="W21" s="3" t="str">
        <f>IF(
    COUNTIFS(
        [1]Main!$F:$F,$B21,
        [1]Main!$N:$N,$C21
    )&gt;0,
    "Active",
    IF(
        COUNTIFS(
            [2]Main!$F:$F,$B21,
            [2]Main!$N:$N,$C21
        )&gt;0,
        "Inactive",
        "Không tìm thấy"
    )
)</f>
        <v>Inactive</v>
      </c>
      <c r="X21" s="15" cm="1">
        <f t="array" ref="X21">IFERROR(
_xlfn.XLOOKUP(
1,
(TRIM(CLEAN(SUBSTITUTE([2]Main!$F$2:$F$5000,CHAR(160)," ")))=
TRIM(CLEAN(SUBSTITUTE($B21,CHAR(160)," "))))
*
(--TEXT([2]Main!$N$2:$N$5000,"dd/mm/yyyy")=
--TEXT($C21,"dd/mm/yyyy")),
[2]Main!$AA$2:$AA$5000,
""
),
"")</f>
        <v>46043</v>
      </c>
      <c r="Y21" s="3"/>
      <c r="Z21" s="3"/>
      <c r="AA21" s="3"/>
      <c r="AB21" s="3"/>
    </row>
    <row r="22" spans="1:28" ht="38.25" customHeight="1" x14ac:dyDescent="0.25">
      <c r="A22" s="1">
        <v>21</v>
      </c>
      <c r="B22" s="2" t="s">
        <v>138</v>
      </c>
      <c r="C22" s="2" t="s">
        <v>139</v>
      </c>
      <c r="D22" s="2" t="s">
        <v>140</v>
      </c>
      <c r="E22" s="2" t="s">
        <v>53</v>
      </c>
      <c r="F22" s="2" t="s">
        <v>141</v>
      </c>
      <c r="G22" s="2" t="s">
        <v>142</v>
      </c>
      <c r="H22" s="1" t="s">
        <v>143</v>
      </c>
      <c r="I22" s="1" t="s">
        <v>14</v>
      </c>
      <c r="J22" s="2" t="s">
        <v>30</v>
      </c>
      <c r="K22" s="13" t="str" cm="1">
        <f t="array" ref="K22">IFERROR(
_xlfn.XLOOKUP(
1,
(TRIM(CLEAN(SUBSTITUTE([1]Main!$F$2:$F$5000,CHAR(160)," ")))=
TRIM(CLEAN(SUBSTITUTE($B22,CHAR(160)," "))))
*
(--TEXT([1]Main!$N$2:$N$5000,"dd/mm/yyyy")=
--TEXT($C22,"dd/mm/yyyy")),
[1]Main!$C$2:$C$5000
),
_xlfn.XLOOKUP(
1,
(TRIM(CLEAN(SUBSTITUTE([2]Main!$F$2:$F$5000,CHAR(160)," ")))=
TRIM(CLEAN(SUBSTITUTE($B22,CHAR(160)," "))))
*
(--TEXT([2]Main!$N$2:$N$5000,"dd/mm/yyyy")=
--TEXT($C22,"dd/mm/yyyy")),
[2]Main!$C$2:$C$5000,
"Không tìm thấy"
)
)</f>
        <v>Không tìm thấy</v>
      </c>
      <c r="L22" s="13" t="str" cm="1">
        <f t="array" ref="L22">IFERROR(
_xlfn.XLOOKUP(
1,
(TRIM(CLEAN(SUBSTITUTE([1]Main!$F$2:$F$5000,CHAR(160)," ")))=
TRIM(CLEAN(SUBSTITUTE($B22,CHAR(160)," "))))
*
(--TEXT([1]Main!$N$2:$N$5000,"dd/mm/yyyy")=
--TEXT($C22,"dd/mm/yyyy")),
[1]Main!$Q$2:$Q$5000
),
_xlfn.XLOOKUP(
1,
(TRIM(CLEAN(SUBSTITUTE([2]Main!$F$2:$F$5000,CHAR(160)," ")))=
TRIM(CLEAN(SUBSTITUTE($B22,CHAR(160)," "))))
*
(--TEXT([2]Main!$N$2:$N$5000,"dd/mm/yyyy")=
--TEXT($C22,"dd/mm/yyyy")),
[2]Main!$Q$2:$Q$5000,
"Không tìm thấy"
)
)</f>
        <v>Không tìm thấy</v>
      </c>
      <c r="M22" s="13" t="str" cm="1">
        <f t="array" ref="M22">IFERROR(
_xlfn.XLOOKUP(
1,
(TRIM(CLEAN(SUBSTITUTE([1]Main!$F$2:$F$5000,CHAR(160)," ")))=
TRIM(CLEAN(SUBSTITUTE($B22,CHAR(160)," "))))
*
(--TEXT([1]Main!$N$2:$N$5000,"dd/mm/yyyy")=
--TEXT($C22,"dd/mm/yyyy")),
[1]Main!$S$2:$S$5000
),
_xlfn.XLOOKUP(
1,
(TRIM(CLEAN(SUBSTITUTE([2]Main!$F$2:$F$5000,CHAR(160)," ")))=
TRIM(CLEAN(SUBSTITUTE($B22,CHAR(160)," "))))
*
(--TEXT([2]Main!$N$2:$N$5000,"dd/mm/yyyy")=
--TEXT($C22,"dd/mm/yyyy")),
[2]Main!$S$2:$S$5000,
"Không tìm thấy"
)
)</f>
        <v>Không tìm thấy</v>
      </c>
      <c r="N22" s="13" t="str" cm="1">
        <f t="array" ref="N22">IFERROR(
_xlfn.XLOOKUP(
1,
(TRIM(CLEAN(SUBSTITUTE([1]Main!$F$2:$F$5000,CHAR(160)," ")))=
TRIM(CLEAN(SUBSTITUTE($B22,CHAR(160)," "))))
*
(--TEXT([1]Main!$N$2:$N$5000,"dd/mm/yyyy")=
--TEXT($C22,"dd/mm/yyyy")),
[1]Main!$AL$2:$AL$5000
),
_xlfn.XLOOKUP(
1,
(TRIM(CLEAN(SUBSTITUTE([2]Main!$F$2:$F$5000,CHAR(160)," ")))=
TRIM(CLEAN(SUBSTITUTE($B22,CHAR(160)," "))))
*
(--TEXT([2]Main!$N$2:$N$5000,"dd/mm/yyyy")=
--TEXT($C22,"dd/mm/yyyy")),
[2]Main!$AL$2:$AL$5000,
"Không tìm thấy"
)
)</f>
        <v>Không tìm thấy</v>
      </c>
      <c r="O22" s="10"/>
      <c r="P22" s="10"/>
      <c r="Q22" s="10"/>
      <c r="R22" s="10"/>
      <c r="S22" s="10"/>
      <c r="T22" s="3" t="s">
        <v>653</v>
      </c>
      <c r="U22" s="3"/>
      <c r="V22" s="3"/>
      <c r="W22" s="3" t="str">
        <f>IF(
    COUNTIFS(
        [1]Main!$F:$F,$B22,
        [1]Main!$N:$N,$C22
    )&gt;0,
    "Active",
    IF(
        COUNTIFS(
            [2]Main!$F:$F,$B22,
            [2]Main!$N:$N,$C22
        )&gt;0,
        "Inactive",
        "Không tìm thấy"
    )
)</f>
        <v>Không tìm thấy</v>
      </c>
      <c r="X22" s="15" t="str" cm="1">
        <f t="array" ref="X22">IFERROR(
_xlfn.XLOOKUP(
1,
(TRIM(CLEAN(SUBSTITUTE([2]Main!$F$2:$F$5000,CHAR(160)," ")))=
TRIM(CLEAN(SUBSTITUTE($B22,CHAR(160)," "))))
*
(--TEXT([2]Main!$N$2:$N$5000,"dd/mm/yyyy")=
--TEXT($C22,"dd/mm/yyyy")),
[2]Main!$AA$2:$AA$5000,
""
),
"")</f>
        <v/>
      </c>
      <c r="Y22" s="3"/>
      <c r="Z22" s="3"/>
      <c r="AA22" s="3"/>
      <c r="AB22" s="3"/>
    </row>
    <row r="23" spans="1:28" ht="38.25" customHeight="1" x14ac:dyDescent="0.25">
      <c r="A23" s="1">
        <v>22</v>
      </c>
      <c r="B23" s="2" t="s">
        <v>144</v>
      </c>
      <c r="C23" s="2" t="s">
        <v>145</v>
      </c>
      <c r="D23" s="2" t="s">
        <v>146</v>
      </c>
      <c r="E23" s="2" t="s">
        <v>147</v>
      </c>
      <c r="F23" s="2" t="s">
        <v>148</v>
      </c>
      <c r="G23" s="2" t="s">
        <v>149</v>
      </c>
      <c r="H23" s="1" t="s">
        <v>143</v>
      </c>
      <c r="I23" s="1" t="s">
        <v>14</v>
      </c>
      <c r="J23" s="2" t="s">
        <v>150</v>
      </c>
      <c r="K23" s="13" t="str" cm="1">
        <f t="array" ref="K23">IFERROR(
_xlfn.XLOOKUP(
1,
(TRIM(CLEAN(SUBSTITUTE([1]Main!$F$2:$F$5000,CHAR(160)," ")))=
TRIM(CLEAN(SUBSTITUTE($B23,CHAR(160)," "))))
*
(--TEXT([1]Main!$N$2:$N$5000,"dd/mm/yyyy")=
--TEXT($C23,"dd/mm/yyyy")),
[1]Main!$C$2:$C$5000
),
_xlfn.XLOOKUP(
1,
(TRIM(CLEAN(SUBSTITUTE([2]Main!$F$2:$F$5000,CHAR(160)," ")))=
TRIM(CLEAN(SUBSTITUTE($B23,CHAR(160)," "))))
*
(--TEXT([2]Main!$N$2:$N$5000,"dd/mm/yyyy")=
--TEXT($C23,"dd/mm/yyyy")),
[2]Main!$C$2:$C$5000,
"Không tìm thấy"
)
)</f>
        <v>Không tìm thấy</v>
      </c>
      <c r="L23" s="13" t="str" cm="1">
        <f t="array" ref="L23">IFERROR(
_xlfn.XLOOKUP(
1,
(TRIM(CLEAN(SUBSTITUTE([1]Main!$F$2:$F$5000,CHAR(160)," ")))=
TRIM(CLEAN(SUBSTITUTE($B23,CHAR(160)," "))))
*
(--TEXT([1]Main!$N$2:$N$5000,"dd/mm/yyyy")=
--TEXT($C23,"dd/mm/yyyy")),
[1]Main!$Q$2:$Q$5000
),
_xlfn.XLOOKUP(
1,
(TRIM(CLEAN(SUBSTITUTE([2]Main!$F$2:$F$5000,CHAR(160)," ")))=
TRIM(CLEAN(SUBSTITUTE($B23,CHAR(160)," "))))
*
(--TEXT([2]Main!$N$2:$N$5000,"dd/mm/yyyy")=
--TEXT($C23,"dd/mm/yyyy")),
[2]Main!$Q$2:$Q$5000,
"Không tìm thấy"
)
)</f>
        <v>Không tìm thấy</v>
      </c>
      <c r="M23" s="13" t="str" cm="1">
        <f t="array" ref="M23">IFERROR(
_xlfn.XLOOKUP(
1,
(TRIM(CLEAN(SUBSTITUTE([1]Main!$F$2:$F$5000,CHAR(160)," ")))=
TRIM(CLEAN(SUBSTITUTE($B23,CHAR(160)," "))))
*
(--TEXT([1]Main!$N$2:$N$5000,"dd/mm/yyyy")=
--TEXT($C23,"dd/mm/yyyy")),
[1]Main!$S$2:$S$5000
),
_xlfn.XLOOKUP(
1,
(TRIM(CLEAN(SUBSTITUTE([2]Main!$F$2:$F$5000,CHAR(160)," ")))=
TRIM(CLEAN(SUBSTITUTE($B23,CHAR(160)," "))))
*
(--TEXT([2]Main!$N$2:$N$5000,"dd/mm/yyyy")=
--TEXT($C23,"dd/mm/yyyy")),
[2]Main!$S$2:$S$5000,
"Không tìm thấy"
)
)</f>
        <v>Không tìm thấy</v>
      </c>
      <c r="N23" s="13" t="str" cm="1">
        <f t="array" ref="N23">IFERROR(
_xlfn.XLOOKUP(
1,
(TRIM(CLEAN(SUBSTITUTE([1]Main!$F$2:$F$5000,CHAR(160)," ")))=
TRIM(CLEAN(SUBSTITUTE($B23,CHAR(160)," "))))
*
(--TEXT([1]Main!$N$2:$N$5000,"dd/mm/yyyy")=
--TEXT($C23,"dd/mm/yyyy")),
[1]Main!$AL$2:$AL$5000
),
_xlfn.XLOOKUP(
1,
(TRIM(CLEAN(SUBSTITUTE([2]Main!$F$2:$F$5000,CHAR(160)," ")))=
TRIM(CLEAN(SUBSTITUTE($B23,CHAR(160)," "))))
*
(--TEXT([2]Main!$N$2:$N$5000,"dd/mm/yyyy")=
--TEXT($C23,"dd/mm/yyyy")),
[2]Main!$AL$2:$AL$5000,
"Không tìm thấy"
)
)</f>
        <v>Không tìm thấy</v>
      </c>
      <c r="O23" s="10"/>
      <c r="P23" s="10"/>
      <c r="Q23" s="10"/>
      <c r="R23" s="10"/>
      <c r="S23" s="10"/>
      <c r="T23" s="3" t="s">
        <v>653</v>
      </c>
      <c r="U23" s="3"/>
      <c r="V23" s="3"/>
      <c r="W23" s="3" t="str">
        <f>IF(
    COUNTIFS(
        [1]Main!$F:$F,$B23,
        [1]Main!$N:$N,$C23
    )&gt;0,
    "Active",
    IF(
        COUNTIFS(
            [2]Main!$F:$F,$B23,
            [2]Main!$N:$N,$C23
        )&gt;0,
        "Inactive",
        "Không tìm thấy"
    )
)</f>
        <v>Không tìm thấy</v>
      </c>
      <c r="X23" s="15" t="str" cm="1">
        <f t="array" ref="X23">IFERROR(
_xlfn.XLOOKUP(
1,
(TRIM(CLEAN(SUBSTITUTE([2]Main!$F$2:$F$5000,CHAR(160)," ")))=
TRIM(CLEAN(SUBSTITUTE($B23,CHAR(160)," "))))
*
(--TEXT([2]Main!$N$2:$N$5000,"dd/mm/yyyy")=
--TEXT($C23,"dd/mm/yyyy")),
[2]Main!$AA$2:$AA$5000,
""
),
"")</f>
        <v/>
      </c>
      <c r="Y23" s="3"/>
      <c r="Z23" s="3"/>
      <c r="AA23" s="3"/>
      <c r="AB23" s="3"/>
    </row>
    <row r="24" spans="1:28" ht="38.25" customHeight="1" x14ac:dyDescent="0.25">
      <c r="A24" s="1">
        <v>23</v>
      </c>
      <c r="B24" s="2" t="s">
        <v>151</v>
      </c>
      <c r="C24" s="2" t="s">
        <v>152</v>
      </c>
      <c r="D24" s="2" t="s">
        <v>153</v>
      </c>
      <c r="E24" s="2" t="s">
        <v>154</v>
      </c>
      <c r="F24" s="2" t="s">
        <v>155</v>
      </c>
      <c r="G24" s="2" t="s">
        <v>156</v>
      </c>
      <c r="H24" s="1" t="s">
        <v>143</v>
      </c>
      <c r="I24" s="1" t="s">
        <v>14</v>
      </c>
      <c r="J24" s="2" t="s">
        <v>15</v>
      </c>
      <c r="K24" s="13" t="str" cm="1">
        <f t="array" ref="K24">IFERROR(
_xlfn.XLOOKUP(
1,
(TRIM(CLEAN(SUBSTITUTE([1]Main!$F$2:$F$5000,CHAR(160)," ")))=
TRIM(CLEAN(SUBSTITUTE($B24,CHAR(160)," "))))
*
(--TEXT([1]Main!$N$2:$N$5000,"dd/mm/yyyy")=
--TEXT($C24,"dd/mm/yyyy")),
[1]Main!$C$2:$C$5000
),
_xlfn.XLOOKUP(
1,
(TRIM(CLEAN(SUBSTITUTE([2]Main!$F$2:$F$5000,CHAR(160)," ")))=
TRIM(CLEAN(SUBSTITUTE($B24,CHAR(160)," "))))
*
(--TEXT([2]Main!$N$2:$N$5000,"dd/mm/yyyy")=
--TEXT($C24,"dd/mm/yyyy")),
[2]Main!$C$2:$C$5000,
"Không tìm thấy"
)
)</f>
        <v>024302004784</v>
      </c>
      <c r="L24" s="13" t="str" cm="1">
        <f t="array" ref="L24">IFERROR(
_xlfn.XLOOKUP(
1,
(TRIM(CLEAN(SUBSTITUTE([1]Main!$F$2:$F$5000,CHAR(160)," ")))=
TRIM(CLEAN(SUBSTITUTE($B24,CHAR(160)," "))))
*
(--TEXT([1]Main!$N$2:$N$5000,"dd/mm/yyyy")=
--TEXT($C24,"dd/mm/yyyy")),
[1]Main!$Q$2:$Q$5000
),
_xlfn.XLOOKUP(
1,
(TRIM(CLEAN(SUBSTITUTE([2]Main!$F$2:$F$5000,CHAR(160)," ")))=
TRIM(CLEAN(SUBSTITUTE($B24,CHAR(160)," "))))
*
(--TEXT([2]Main!$N$2:$N$5000,"dd/mm/yyyy")=
--TEXT($C24,"dd/mm/yyyy")),
[2]Main!$Q$2:$Q$5000,
"Không tìm thấy"
)
)</f>
        <v>Nữ</v>
      </c>
      <c r="M24" s="13" t="str" cm="1">
        <f t="array" ref="M24">IFERROR(
_xlfn.XLOOKUP(
1,
(TRIM(CLEAN(SUBSTITUTE([1]Main!$F$2:$F$5000,CHAR(160)," ")))=
TRIM(CLEAN(SUBSTITUTE($B24,CHAR(160)," "))))
*
(--TEXT([1]Main!$N$2:$N$5000,"dd/mm/yyyy")=
--TEXT($C24,"dd/mm/yyyy")),
[1]Main!$S$2:$S$5000
),
_xlfn.XLOOKUP(
1,
(TRIM(CLEAN(SUBSTITUTE([2]Main!$F$2:$F$5000,CHAR(160)," ")))=
TRIM(CLEAN(SUBSTITUTE($B24,CHAR(160)," "))))
*
(--TEXT([2]Main!$N$2:$N$5000,"dd/mm/yyyy")=
--TEXT($C24,"dd/mm/yyyy")),
[2]Main!$S$2:$S$5000,
"Không tìm thấy"
)
)</f>
        <v>VN</v>
      </c>
      <c r="N24" s="13" t="str" cm="1">
        <f t="array" ref="N24">IFERROR(
_xlfn.XLOOKUP(
1,
(TRIM(CLEAN(SUBSTITUTE([1]Main!$F$2:$F$5000,CHAR(160)," ")))=
TRIM(CLEAN(SUBSTITUTE($B24,CHAR(160)," "))))
*
(--TEXT([1]Main!$N$2:$N$5000,"dd/mm/yyyy")=
--TEXT($C24,"dd/mm/yyyy")),
[1]Main!$AL$2:$AL$5000
),
_xlfn.XLOOKUP(
1,
(TRIM(CLEAN(SUBSTITUTE([2]Main!$F$2:$F$5000,CHAR(160)," ")))=
TRIM(CLEAN(SUBSTITUTE($B24,CHAR(160)," "))))
*
(--TEXT([2]Main!$N$2:$N$5000,"dd/mm/yyyy")=
--TEXT($C24,"dd/mm/yyyy")),
[2]Main!$AL$2:$AL$5000,
"Không tìm thấy"
)
)</f>
        <v>Thành phố Hà Nội</v>
      </c>
      <c r="O24" s="10"/>
      <c r="P24" s="10"/>
      <c r="Q24" s="10"/>
      <c r="R24" s="10"/>
      <c r="S24" s="10"/>
      <c r="T24" s="3" t="s">
        <v>653</v>
      </c>
      <c r="U24" s="3"/>
      <c r="V24" s="3"/>
      <c r="W24" s="3" t="str">
        <f>IF(
    COUNTIFS(
        [1]Main!$F:$F,$B24,
        [1]Main!$N:$N,$C24
    )&gt;0,
    "Active",
    IF(
        COUNTIFS(
            [2]Main!$F:$F,$B24,
            [2]Main!$N:$N,$C24
        )&gt;0,
        "Inactive",
        "Không tìm thấy"
    )
)</f>
        <v>Active</v>
      </c>
      <c r="X24" s="15" t="str" cm="1">
        <f t="array" ref="X24">IFERROR(
_xlfn.XLOOKUP(
1,
(TRIM(CLEAN(SUBSTITUTE([2]Main!$F$2:$F$5000,CHAR(160)," ")))=
TRIM(CLEAN(SUBSTITUTE($B24,CHAR(160)," "))))
*
(--TEXT([2]Main!$N$2:$N$5000,"dd/mm/yyyy")=
--TEXT($C24,"dd/mm/yyyy")),
[2]Main!$AA$2:$AA$5000,
""
),
"")</f>
        <v/>
      </c>
      <c r="Y24" s="3"/>
      <c r="Z24" s="3"/>
      <c r="AA24" s="3"/>
      <c r="AB24" s="3"/>
    </row>
    <row r="25" spans="1:28" ht="38.25" customHeight="1" x14ac:dyDescent="0.25">
      <c r="A25" s="1">
        <v>24</v>
      </c>
      <c r="B25" s="2" t="s">
        <v>157</v>
      </c>
      <c r="C25" s="2" t="s">
        <v>158</v>
      </c>
      <c r="D25" s="2" t="s">
        <v>159</v>
      </c>
      <c r="E25" s="2" t="s">
        <v>160</v>
      </c>
      <c r="F25" s="2" t="s">
        <v>161</v>
      </c>
      <c r="G25" s="2" t="s">
        <v>142</v>
      </c>
      <c r="H25" s="1" t="s">
        <v>162</v>
      </c>
      <c r="I25" s="1" t="s">
        <v>14</v>
      </c>
      <c r="J25" s="2" t="s">
        <v>30</v>
      </c>
      <c r="K25" s="13" t="str" cm="1">
        <f t="array" ref="K25">IFERROR(
_xlfn.XLOOKUP(
1,
(TRIM(CLEAN(SUBSTITUTE([1]Main!$F$2:$F$5000,CHAR(160)," ")))=
TRIM(CLEAN(SUBSTITUTE($B25,CHAR(160)," "))))
*
(--TEXT([1]Main!$N$2:$N$5000,"dd/mm/yyyy")=
--TEXT($C25,"dd/mm/yyyy")),
[1]Main!$C$2:$C$5000
),
_xlfn.XLOOKUP(
1,
(TRIM(CLEAN(SUBSTITUTE([2]Main!$F$2:$F$5000,CHAR(160)," ")))=
TRIM(CLEAN(SUBSTITUTE($B25,CHAR(160)," "))))
*
(--TEXT([2]Main!$N$2:$N$5000,"dd/mm/yyyy")=
--TEXT($C25,"dd/mm/yyyy")),
[2]Main!$C$2:$C$5000,
"Không tìm thấy"
)
)</f>
        <v>001203005300</v>
      </c>
      <c r="L25" s="13" t="str" cm="1">
        <f t="array" ref="L25">IFERROR(
_xlfn.XLOOKUP(
1,
(TRIM(CLEAN(SUBSTITUTE([1]Main!$F$2:$F$5000,CHAR(160)," ")))=
TRIM(CLEAN(SUBSTITUTE($B25,CHAR(160)," "))))
*
(--TEXT([1]Main!$N$2:$N$5000,"dd/mm/yyyy")=
--TEXT($C25,"dd/mm/yyyy")),
[1]Main!$Q$2:$Q$5000
),
_xlfn.XLOOKUP(
1,
(TRIM(CLEAN(SUBSTITUTE([2]Main!$F$2:$F$5000,CHAR(160)," ")))=
TRIM(CLEAN(SUBSTITUTE($B25,CHAR(160)," "))))
*
(--TEXT([2]Main!$N$2:$N$5000,"dd/mm/yyyy")=
--TEXT($C25,"dd/mm/yyyy")),
[2]Main!$Q$2:$Q$5000,
"Không tìm thấy"
)
)</f>
        <v>Nam</v>
      </c>
      <c r="M25" s="13" t="str" cm="1">
        <f t="array" ref="M25">IFERROR(
_xlfn.XLOOKUP(
1,
(TRIM(CLEAN(SUBSTITUTE([1]Main!$F$2:$F$5000,CHAR(160)," ")))=
TRIM(CLEAN(SUBSTITUTE($B25,CHAR(160)," "))))
*
(--TEXT([1]Main!$N$2:$N$5000,"dd/mm/yyyy")=
--TEXT($C25,"dd/mm/yyyy")),
[1]Main!$S$2:$S$5000
),
_xlfn.XLOOKUP(
1,
(TRIM(CLEAN(SUBSTITUTE([2]Main!$F$2:$F$5000,CHAR(160)," ")))=
TRIM(CLEAN(SUBSTITUTE($B25,CHAR(160)," "))))
*
(--TEXT([2]Main!$N$2:$N$5000,"dd/mm/yyyy")=
--TEXT($C25,"dd/mm/yyyy")),
[2]Main!$S$2:$S$5000,
"Không tìm thấy"
)
)</f>
        <v>VN</v>
      </c>
      <c r="N25" s="13" t="str" cm="1">
        <f t="array" ref="N25">IFERROR(
_xlfn.XLOOKUP(
1,
(TRIM(CLEAN(SUBSTITUTE([1]Main!$F$2:$F$5000,CHAR(160)," ")))=
TRIM(CLEAN(SUBSTITUTE($B25,CHAR(160)," "))))
*
(--TEXT([1]Main!$N$2:$N$5000,"dd/mm/yyyy")=
--TEXT($C25,"dd/mm/yyyy")),
[1]Main!$AL$2:$AL$5000
),
_xlfn.XLOOKUP(
1,
(TRIM(CLEAN(SUBSTITUTE([2]Main!$F$2:$F$5000,CHAR(160)," ")))=
TRIM(CLEAN(SUBSTITUTE($B25,CHAR(160)," "))))
*
(--TEXT([2]Main!$N$2:$N$5000,"dd/mm/yyyy")=
--TEXT($C25,"dd/mm/yyyy")),
[2]Main!$AL$2:$AL$5000,
"Không tìm thấy"
)
)</f>
        <v>Thành phố Hà Nội</v>
      </c>
      <c r="O25" s="10"/>
      <c r="P25" s="10"/>
      <c r="Q25" s="10"/>
      <c r="R25" s="10"/>
      <c r="S25" s="10"/>
      <c r="T25" s="3" t="s">
        <v>653</v>
      </c>
      <c r="U25" s="3"/>
      <c r="V25" s="3"/>
      <c r="W25" s="3" t="str">
        <f>IF(
    COUNTIFS(
        [1]Main!$F:$F,$B25,
        [1]Main!$N:$N,$C25
    )&gt;0,
    "Active",
    IF(
        COUNTIFS(
            [2]Main!$F:$F,$B25,
            [2]Main!$N:$N,$C25
        )&gt;0,
        "Inactive",
        "Không tìm thấy"
    )
)</f>
        <v>Active</v>
      </c>
      <c r="X25" s="15" cm="1">
        <f t="array" ref="X25">IFERROR(
_xlfn.XLOOKUP(
1,
(TRIM(CLEAN(SUBSTITUTE([2]Main!$F$2:$F$5000,CHAR(160)," ")))=
TRIM(CLEAN(SUBSTITUTE($B25,CHAR(160)," "))))
*
(--TEXT([2]Main!$N$2:$N$5000,"dd/mm/yyyy")=
--TEXT($C25,"dd/mm/yyyy")),
[2]Main!$AA$2:$AA$5000,
""
),
"")</f>
        <v>45627</v>
      </c>
      <c r="Y25" s="3"/>
      <c r="Z25" s="3"/>
      <c r="AA25" s="3"/>
      <c r="AB25" s="3"/>
    </row>
    <row r="26" spans="1:28" ht="38.25" customHeight="1" x14ac:dyDescent="0.25">
      <c r="A26" s="1">
        <v>25</v>
      </c>
      <c r="B26" s="2" t="s">
        <v>163</v>
      </c>
      <c r="C26" s="2" t="s">
        <v>164</v>
      </c>
      <c r="D26" s="2" t="s">
        <v>165</v>
      </c>
      <c r="E26" s="2" t="s">
        <v>166</v>
      </c>
      <c r="F26" s="2" t="s">
        <v>167</v>
      </c>
      <c r="G26" s="2" t="s">
        <v>142</v>
      </c>
      <c r="H26" s="1" t="s">
        <v>13</v>
      </c>
      <c r="I26" s="1" t="s">
        <v>14</v>
      </c>
      <c r="J26" s="2" t="s">
        <v>15</v>
      </c>
      <c r="K26" s="13" t="str" cm="1">
        <f t="array" ref="K26">IFERROR(
_xlfn.XLOOKUP(
1,
(TRIM(CLEAN(SUBSTITUTE([1]Main!$F$2:$F$5000,CHAR(160)," ")))=
TRIM(CLEAN(SUBSTITUTE($B26,CHAR(160)," "))))
*
(--TEXT([1]Main!$N$2:$N$5000,"dd/mm/yyyy")=
--TEXT($C26,"dd/mm/yyyy")),
[1]Main!$C$2:$C$5000
),
_xlfn.XLOOKUP(
1,
(TRIM(CLEAN(SUBSTITUTE([2]Main!$F$2:$F$5000,CHAR(160)," ")))=
TRIM(CLEAN(SUBSTITUTE($B26,CHAR(160)," "))))
*
(--TEXT([2]Main!$N$2:$N$5000,"dd/mm/yyyy")=
--TEXT($C26,"dd/mm/yyyy")),
[2]Main!$C$2:$C$5000,
"Không tìm thấy"
)
)</f>
        <v>001303010221</v>
      </c>
      <c r="L26" s="13" t="str" cm="1">
        <f t="array" ref="L26">IFERROR(
_xlfn.XLOOKUP(
1,
(TRIM(CLEAN(SUBSTITUTE([1]Main!$F$2:$F$5000,CHAR(160)," ")))=
TRIM(CLEAN(SUBSTITUTE($B26,CHAR(160)," "))))
*
(--TEXT([1]Main!$N$2:$N$5000,"dd/mm/yyyy")=
--TEXT($C26,"dd/mm/yyyy")),
[1]Main!$Q$2:$Q$5000
),
_xlfn.XLOOKUP(
1,
(TRIM(CLEAN(SUBSTITUTE([2]Main!$F$2:$F$5000,CHAR(160)," ")))=
TRIM(CLEAN(SUBSTITUTE($B26,CHAR(160)," "))))
*
(--TEXT([2]Main!$N$2:$N$5000,"dd/mm/yyyy")=
--TEXT($C26,"dd/mm/yyyy")),
[2]Main!$Q$2:$Q$5000,
"Không tìm thấy"
)
)</f>
        <v>Nữ</v>
      </c>
      <c r="M26" s="13" t="str" cm="1">
        <f t="array" ref="M26">IFERROR(
_xlfn.XLOOKUP(
1,
(TRIM(CLEAN(SUBSTITUTE([1]Main!$F$2:$F$5000,CHAR(160)," ")))=
TRIM(CLEAN(SUBSTITUTE($B26,CHAR(160)," "))))
*
(--TEXT([1]Main!$N$2:$N$5000,"dd/mm/yyyy")=
--TEXT($C26,"dd/mm/yyyy")),
[1]Main!$S$2:$S$5000
),
_xlfn.XLOOKUP(
1,
(TRIM(CLEAN(SUBSTITUTE([2]Main!$F$2:$F$5000,CHAR(160)," ")))=
TRIM(CLEAN(SUBSTITUTE($B26,CHAR(160)," "))))
*
(--TEXT([2]Main!$N$2:$N$5000,"dd/mm/yyyy")=
--TEXT($C26,"dd/mm/yyyy")),
[2]Main!$S$2:$S$5000,
"Không tìm thấy"
)
)</f>
        <v>VN</v>
      </c>
      <c r="N26" s="13" t="str" cm="1">
        <f t="array" ref="N26">IFERROR(
_xlfn.XLOOKUP(
1,
(TRIM(CLEAN(SUBSTITUTE([1]Main!$F$2:$F$5000,CHAR(160)," ")))=
TRIM(CLEAN(SUBSTITUTE($B26,CHAR(160)," "))))
*
(--TEXT([1]Main!$N$2:$N$5000,"dd/mm/yyyy")=
--TEXT($C26,"dd/mm/yyyy")),
[1]Main!$AL$2:$AL$5000
),
_xlfn.XLOOKUP(
1,
(TRIM(CLEAN(SUBSTITUTE([2]Main!$F$2:$F$5000,CHAR(160)," ")))=
TRIM(CLEAN(SUBSTITUTE($B26,CHAR(160)," "))))
*
(--TEXT([2]Main!$N$2:$N$5000,"dd/mm/yyyy")=
--TEXT($C26,"dd/mm/yyyy")),
[2]Main!$AL$2:$AL$5000,
"Không tìm thấy"
)
)</f>
        <v>Thành phố Hà Nội</v>
      </c>
      <c r="O26" s="10"/>
      <c r="P26" s="10"/>
      <c r="Q26" s="10"/>
      <c r="R26" s="10"/>
      <c r="S26" s="10"/>
      <c r="T26" s="3" t="s">
        <v>653</v>
      </c>
      <c r="U26" s="3"/>
      <c r="V26" s="3"/>
      <c r="W26" s="3" t="str">
        <f>IF(
    COUNTIFS(
        [1]Main!$F:$F,$B26,
        [1]Main!$N:$N,$C26
    )&gt;0,
    "Active",
    IF(
        COUNTIFS(
            [2]Main!$F:$F,$B26,
            [2]Main!$N:$N,$C26
        )&gt;0,
        "Inactive",
        "Không tìm thấy"
    )
)</f>
        <v>Inactive</v>
      </c>
      <c r="X26" s="15" cm="1">
        <f t="array" ref="X26">IFERROR(
_xlfn.XLOOKUP(
1,
(TRIM(CLEAN(SUBSTITUTE([2]Main!$F$2:$F$5000,CHAR(160)," ")))=
TRIM(CLEAN(SUBSTITUTE($B26,CHAR(160)," "))))
*
(--TEXT([2]Main!$N$2:$N$5000,"dd/mm/yyyy")=
--TEXT($C26,"dd/mm/yyyy")),
[2]Main!$AA$2:$AA$5000,
""
),
"")</f>
        <v>46056</v>
      </c>
      <c r="Y26" s="3"/>
      <c r="Z26" s="3"/>
      <c r="AA26" s="3"/>
      <c r="AB26" s="3"/>
    </row>
    <row r="27" spans="1:28" ht="38.25" customHeight="1" x14ac:dyDescent="0.25">
      <c r="A27" s="1">
        <v>26</v>
      </c>
      <c r="B27" s="2" t="s">
        <v>168</v>
      </c>
      <c r="C27" s="2" t="s">
        <v>169</v>
      </c>
      <c r="D27" s="2" t="s">
        <v>170</v>
      </c>
      <c r="E27" s="2" t="s">
        <v>171</v>
      </c>
      <c r="F27" s="2" t="s">
        <v>75</v>
      </c>
      <c r="G27" s="2" t="s">
        <v>76</v>
      </c>
      <c r="H27" s="1" t="s">
        <v>172</v>
      </c>
      <c r="I27" s="1" t="s">
        <v>14</v>
      </c>
      <c r="J27" s="2" t="s">
        <v>15</v>
      </c>
      <c r="K27" s="13" t="str" cm="1">
        <f t="array" ref="K27">IFERROR(
_xlfn.XLOOKUP(
1,
(TRIM(CLEAN(SUBSTITUTE([1]Main!$F$2:$F$5000,CHAR(160)," ")))=
TRIM(CLEAN(SUBSTITUTE($B27,CHAR(160)," "))))
*
(--TEXT([1]Main!$N$2:$N$5000,"dd/mm/yyyy")=
--TEXT($C27,"dd/mm/yyyy")),
[1]Main!$C$2:$C$5000
),
_xlfn.XLOOKUP(
1,
(TRIM(CLEAN(SUBSTITUTE([2]Main!$F$2:$F$5000,CHAR(160)," ")))=
TRIM(CLEAN(SUBSTITUTE($B27,CHAR(160)," "))))
*
(--TEXT([2]Main!$N$2:$N$5000,"dd/mm/yyyy")=
--TEXT($C27,"dd/mm/yyyy")),
[2]Main!$C$2:$C$5000,
"Không tìm thấy"
)
)</f>
        <v>001301003999</v>
      </c>
      <c r="L27" s="13" t="str" cm="1">
        <f t="array" ref="L27">IFERROR(
_xlfn.XLOOKUP(
1,
(TRIM(CLEAN(SUBSTITUTE([1]Main!$F$2:$F$5000,CHAR(160)," ")))=
TRIM(CLEAN(SUBSTITUTE($B27,CHAR(160)," "))))
*
(--TEXT([1]Main!$N$2:$N$5000,"dd/mm/yyyy")=
--TEXT($C27,"dd/mm/yyyy")),
[1]Main!$Q$2:$Q$5000
),
_xlfn.XLOOKUP(
1,
(TRIM(CLEAN(SUBSTITUTE([2]Main!$F$2:$F$5000,CHAR(160)," ")))=
TRIM(CLEAN(SUBSTITUTE($B27,CHAR(160)," "))))
*
(--TEXT([2]Main!$N$2:$N$5000,"dd/mm/yyyy")=
--TEXT($C27,"dd/mm/yyyy")),
[2]Main!$Q$2:$Q$5000,
"Không tìm thấy"
)
)</f>
        <v>Nữ</v>
      </c>
      <c r="M27" s="13" t="str" cm="1">
        <f t="array" ref="M27">IFERROR(
_xlfn.XLOOKUP(
1,
(TRIM(CLEAN(SUBSTITUTE([1]Main!$F$2:$F$5000,CHAR(160)," ")))=
TRIM(CLEAN(SUBSTITUTE($B27,CHAR(160)," "))))
*
(--TEXT([1]Main!$N$2:$N$5000,"dd/mm/yyyy")=
--TEXT($C27,"dd/mm/yyyy")),
[1]Main!$S$2:$S$5000
),
_xlfn.XLOOKUP(
1,
(TRIM(CLEAN(SUBSTITUTE([2]Main!$F$2:$F$5000,CHAR(160)," ")))=
TRIM(CLEAN(SUBSTITUTE($B27,CHAR(160)," "))))
*
(--TEXT([2]Main!$N$2:$N$5000,"dd/mm/yyyy")=
--TEXT($C27,"dd/mm/yyyy")),
[2]Main!$S$2:$S$5000,
"Không tìm thấy"
)
)</f>
        <v>VN</v>
      </c>
      <c r="N27" s="13" t="str" cm="1">
        <f t="array" ref="N27">IFERROR(
_xlfn.XLOOKUP(
1,
(TRIM(CLEAN(SUBSTITUTE([1]Main!$F$2:$F$5000,CHAR(160)," ")))=
TRIM(CLEAN(SUBSTITUTE($B27,CHAR(160)," "))))
*
(--TEXT([1]Main!$N$2:$N$5000,"dd/mm/yyyy")=
--TEXT($C27,"dd/mm/yyyy")),
[1]Main!$AL$2:$AL$5000
),
_xlfn.XLOOKUP(
1,
(TRIM(CLEAN(SUBSTITUTE([2]Main!$F$2:$F$5000,CHAR(160)," ")))=
TRIM(CLEAN(SUBSTITUTE($B27,CHAR(160)," "))))
*
(--TEXT([2]Main!$N$2:$N$5000,"dd/mm/yyyy")=
--TEXT($C27,"dd/mm/yyyy")),
[2]Main!$AL$2:$AL$5000,
"Không tìm thấy"
)
)</f>
        <v>Thành phố Hà Nội</v>
      </c>
      <c r="O27" s="10"/>
      <c r="P27" s="10"/>
      <c r="Q27" s="10"/>
      <c r="R27" s="10"/>
      <c r="S27" s="10"/>
      <c r="T27" s="3" t="s">
        <v>653</v>
      </c>
      <c r="U27" s="3"/>
      <c r="V27" s="3"/>
      <c r="W27" s="3" t="str">
        <f>IF(
    COUNTIFS(
        [1]Main!$F:$F,$B27,
        [1]Main!$N:$N,$C27
    )&gt;0,
    "Active",
    IF(
        COUNTIFS(
            [2]Main!$F:$F,$B27,
            [2]Main!$N:$N,$C27
        )&gt;0,
        "Inactive",
        "Không tìm thấy"
    )
)</f>
        <v>Inactive</v>
      </c>
      <c r="X27" s="15" cm="1">
        <f t="array" ref="X27">IFERROR(
_xlfn.XLOOKUP(
1,
(TRIM(CLEAN(SUBSTITUTE([2]Main!$F$2:$F$5000,CHAR(160)," ")))=
TRIM(CLEAN(SUBSTITUTE($B27,CHAR(160)," "))))
*
(--TEXT([2]Main!$N$2:$N$5000,"dd/mm/yyyy")=
--TEXT($C27,"dd/mm/yyyy")),
[2]Main!$AA$2:$AA$5000,
""
),
"")</f>
        <v>45945</v>
      </c>
      <c r="Y27" s="3"/>
      <c r="Z27" s="3"/>
      <c r="AA27" s="3"/>
      <c r="AB27" s="3"/>
    </row>
    <row r="28" spans="1:28" ht="25.5" customHeight="1" x14ac:dyDescent="0.25">
      <c r="A28" s="1">
        <v>27</v>
      </c>
      <c r="B28" s="2" t="s">
        <v>173</v>
      </c>
      <c r="C28" s="2" t="s">
        <v>174</v>
      </c>
      <c r="D28" s="2" t="s">
        <v>175</v>
      </c>
      <c r="E28" s="2" t="s">
        <v>176</v>
      </c>
      <c r="F28" s="2" t="s">
        <v>35</v>
      </c>
      <c r="G28" s="2" t="s">
        <v>36</v>
      </c>
      <c r="H28" s="1" t="s">
        <v>177</v>
      </c>
      <c r="I28" s="1" t="s">
        <v>14</v>
      </c>
      <c r="J28" s="2" t="s">
        <v>39</v>
      </c>
      <c r="K28" s="13" t="str" cm="1">
        <f t="array" ref="K28">IFERROR(
_xlfn.XLOOKUP(
1,
(TRIM(CLEAN(SUBSTITUTE([1]Main!$F$2:$F$5000,CHAR(160)," ")))=
TRIM(CLEAN(SUBSTITUTE($B28,CHAR(160)," "))))
*
(--TEXT([1]Main!$N$2:$N$5000,"dd/mm/yyyy")=
--TEXT($C28,"dd/mm/yyyy")),
[1]Main!$C$2:$C$5000
),
_xlfn.XLOOKUP(
1,
(TRIM(CLEAN(SUBSTITUTE([2]Main!$F$2:$F$5000,CHAR(160)," ")))=
TRIM(CLEAN(SUBSTITUTE($B28,CHAR(160)," "))))
*
(--TEXT([2]Main!$N$2:$N$5000,"dd/mm/yyyy")=
--TEXT($C28,"dd/mm/yyyy")),
[2]Main!$C$2:$C$5000,
"Không tìm thấy"
)
)</f>
        <v>035204001891</v>
      </c>
      <c r="L28" s="13" t="str" cm="1">
        <f t="array" ref="L28">IFERROR(
_xlfn.XLOOKUP(
1,
(TRIM(CLEAN(SUBSTITUTE([1]Main!$F$2:$F$5000,CHAR(160)," ")))=
TRIM(CLEAN(SUBSTITUTE($B28,CHAR(160)," "))))
*
(--TEXT([1]Main!$N$2:$N$5000,"dd/mm/yyyy")=
--TEXT($C28,"dd/mm/yyyy")),
[1]Main!$Q$2:$Q$5000
),
_xlfn.XLOOKUP(
1,
(TRIM(CLEAN(SUBSTITUTE([2]Main!$F$2:$F$5000,CHAR(160)," ")))=
TRIM(CLEAN(SUBSTITUTE($B28,CHAR(160)," "))))
*
(--TEXT([2]Main!$N$2:$N$5000,"dd/mm/yyyy")=
--TEXT($C28,"dd/mm/yyyy")),
[2]Main!$Q$2:$Q$5000,
"Không tìm thấy"
)
)</f>
        <v>Nam</v>
      </c>
      <c r="M28" s="13" t="str" cm="1">
        <f t="array" ref="M28">IFERROR(
_xlfn.XLOOKUP(
1,
(TRIM(CLEAN(SUBSTITUTE([1]Main!$F$2:$F$5000,CHAR(160)," ")))=
TRIM(CLEAN(SUBSTITUTE($B28,CHAR(160)," "))))
*
(--TEXT([1]Main!$N$2:$N$5000,"dd/mm/yyyy")=
--TEXT($C28,"dd/mm/yyyy")),
[1]Main!$S$2:$S$5000
),
_xlfn.XLOOKUP(
1,
(TRIM(CLEAN(SUBSTITUTE([2]Main!$F$2:$F$5000,CHAR(160)," ")))=
TRIM(CLEAN(SUBSTITUTE($B28,CHAR(160)," "))))
*
(--TEXT([2]Main!$N$2:$N$5000,"dd/mm/yyyy")=
--TEXT($C28,"dd/mm/yyyy")),
[2]Main!$S$2:$S$5000,
"Không tìm thấy"
)
)</f>
        <v>VN</v>
      </c>
      <c r="N28" s="13" cm="1">
        <f t="array" ref="N28">IFERROR(
_xlfn.XLOOKUP(
1,
(TRIM(CLEAN(SUBSTITUTE([1]Main!$F$2:$F$5000,CHAR(160)," ")))=
TRIM(CLEAN(SUBSTITUTE($B28,CHAR(160)," "))))
*
(--TEXT([1]Main!$N$2:$N$5000,"dd/mm/yyyy")=
--TEXT($C28,"dd/mm/yyyy")),
[1]Main!$AL$2:$AL$5000
),
_xlfn.XLOOKUP(
1,
(TRIM(CLEAN(SUBSTITUTE([2]Main!$F$2:$F$5000,CHAR(160)," ")))=
TRIM(CLEAN(SUBSTITUTE($B28,CHAR(160)," "))))
*
(--TEXT([2]Main!$N$2:$N$5000,"dd/mm/yyyy")=
--TEXT($C28,"dd/mm/yyyy")),
[2]Main!$AL$2:$AL$5000,
"Không tìm thấy"
)
)</f>
        <v>0</v>
      </c>
      <c r="O28" s="10"/>
      <c r="P28" s="10"/>
      <c r="Q28" s="10"/>
      <c r="R28" s="10"/>
      <c r="S28" s="10"/>
      <c r="T28" s="3" t="s">
        <v>653</v>
      </c>
      <c r="U28" s="3"/>
      <c r="V28" s="3"/>
      <c r="W28" s="3" t="str">
        <f>IF(
    COUNTIFS(
        [1]Main!$F:$F,$B28,
        [1]Main!$N:$N,$C28
    )&gt;0,
    "Active",
    IF(
        COUNTIFS(
            [2]Main!$F:$F,$B28,
            [2]Main!$N:$N,$C28
        )&gt;0,
        "Inactive",
        "Không tìm thấy"
    )
)</f>
        <v>Active</v>
      </c>
      <c r="X28" s="15" t="str" cm="1">
        <f t="array" ref="X28">IFERROR(
_xlfn.XLOOKUP(
1,
(TRIM(CLEAN(SUBSTITUTE([2]Main!$F$2:$F$5000,CHAR(160)," ")))=
TRIM(CLEAN(SUBSTITUTE($B28,CHAR(160)," "))))
*
(--TEXT([2]Main!$N$2:$N$5000,"dd/mm/yyyy")=
--TEXT($C28,"dd/mm/yyyy")),
[2]Main!$AA$2:$AA$5000,
""
),
"")</f>
        <v/>
      </c>
      <c r="Y28" s="3"/>
      <c r="Z28" s="3"/>
      <c r="AA28" s="3"/>
      <c r="AB28" s="3"/>
    </row>
    <row r="29" spans="1:28" ht="38.25" customHeight="1" x14ac:dyDescent="0.25">
      <c r="A29" s="1">
        <v>28</v>
      </c>
      <c r="B29" s="2" t="s">
        <v>178</v>
      </c>
      <c r="C29" s="2" t="s">
        <v>179</v>
      </c>
      <c r="D29" s="2" t="s">
        <v>180</v>
      </c>
      <c r="E29" s="2" t="s">
        <v>171</v>
      </c>
      <c r="F29" s="2" t="s">
        <v>75</v>
      </c>
      <c r="G29" s="2" t="s">
        <v>76</v>
      </c>
      <c r="H29" s="1" t="s">
        <v>181</v>
      </c>
      <c r="I29" s="1" t="s">
        <v>14</v>
      </c>
      <c r="J29" s="2" t="s">
        <v>15</v>
      </c>
      <c r="K29" s="13" t="str" cm="1">
        <f t="array" ref="K29">IFERROR(
_xlfn.XLOOKUP(
1,
(TRIM(CLEAN(SUBSTITUTE([1]Main!$F$2:$F$5000,CHAR(160)," ")))=
TRIM(CLEAN(SUBSTITUTE($B29,CHAR(160)," "))))
*
(--TEXT([1]Main!$N$2:$N$5000,"dd/mm/yyyy")=
--TEXT($C29,"dd/mm/yyyy")),
[1]Main!$C$2:$C$5000
),
_xlfn.XLOOKUP(
1,
(TRIM(CLEAN(SUBSTITUTE([2]Main!$F$2:$F$5000,CHAR(160)," ")))=
TRIM(CLEAN(SUBSTITUTE($B29,CHAR(160)," "))))
*
(--TEXT([2]Main!$N$2:$N$5000,"dd/mm/yyyy")=
--TEXT($C29,"dd/mm/yyyy")),
[2]Main!$C$2:$C$5000,
"Không tìm thấy"
)
)</f>
        <v>001303022641</v>
      </c>
      <c r="L29" s="13" t="str" cm="1">
        <f t="array" ref="L29">IFERROR(
_xlfn.XLOOKUP(
1,
(TRIM(CLEAN(SUBSTITUTE([1]Main!$F$2:$F$5000,CHAR(160)," ")))=
TRIM(CLEAN(SUBSTITUTE($B29,CHAR(160)," "))))
*
(--TEXT([1]Main!$N$2:$N$5000,"dd/mm/yyyy")=
--TEXT($C29,"dd/mm/yyyy")),
[1]Main!$Q$2:$Q$5000
),
_xlfn.XLOOKUP(
1,
(TRIM(CLEAN(SUBSTITUTE([2]Main!$F$2:$F$5000,CHAR(160)," ")))=
TRIM(CLEAN(SUBSTITUTE($B29,CHAR(160)," "))))
*
(--TEXT([2]Main!$N$2:$N$5000,"dd/mm/yyyy")=
--TEXT($C29,"dd/mm/yyyy")),
[2]Main!$Q$2:$Q$5000,
"Không tìm thấy"
)
)</f>
        <v>Nữ</v>
      </c>
      <c r="M29" s="13" t="str" cm="1">
        <f t="array" ref="M29">IFERROR(
_xlfn.XLOOKUP(
1,
(TRIM(CLEAN(SUBSTITUTE([1]Main!$F$2:$F$5000,CHAR(160)," ")))=
TRIM(CLEAN(SUBSTITUTE($B29,CHAR(160)," "))))
*
(--TEXT([1]Main!$N$2:$N$5000,"dd/mm/yyyy")=
--TEXT($C29,"dd/mm/yyyy")),
[1]Main!$S$2:$S$5000
),
_xlfn.XLOOKUP(
1,
(TRIM(CLEAN(SUBSTITUTE([2]Main!$F$2:$F$5000,CHAR(160)," ")))=
TRIM(CLEAN(SUBSTITUTE($B29,CHAR(160)," "))))
*
(--TEXT([2]Main!$N$2:$N$5000,"dd/mm/yyyy")=
--TEXT($C29,"dd/mm/yyyy")),
[2]Main!$S$2:$S$5000,
"Không tìm thấy"
)
)</f>
        <v>VN</v>
      </c>
      <c r="N29" s="13" t="str" cm="1">
        <f t="array" ref="N29">IFERROR(
_xlfn.XLOOKUP(
1,
(TRIM(CLEAN(SUBSTITUTE([1]Main!$F$2:$F$5000,CHAR(160)," ")))=
TRIM(CLEAN(SUBSTITUTE($B29,CHAR(160)," "))))
*
(--TEXT([1]Main!$N$2:$N$5000,"dd/mm/yyyy")=
--TEXT($C29,"dd/mm/yyyy")),
[1]Main!$AL$2:$AL$5000
),
_xlfn.XLOOKUP(
1,
(TRIM(CLEAN(SUBSTITUTE([2]Main!$F$2:$F$5000,CHAR(160)," ")))=
TRIM(CLEAN(SUBSTITUTE($B29,CHAR(160)," "))))
*
(--TEXT([2]Main!$N$2:$N$5000,"dd/mm/yyyy")=
--TEXT($C29,"dd/mm/yyyy")),
[2]Main!$AL$2:$AL$5000,
"Không tìm thấy"
)
)</f>
        <v>Thành phố Hà Nội</v>
      </c>
      <c r="O29" s="10"/>
      <c r="P29" s="10"/>
      <c r="Q29" s="10"/>
      <c r="R29" s="10"/>
      <c r="S29" s="10"/>
      <c r="T29" s="3" t="s">
        <v>653</v>
      </c>
      <c r="U29" s="3"/>
      <c r="V29" s="3"/>
      <c r="W29" s="3" t="str">
        <f>IF(
    COUNTIFS(
        [1]Main!$F:$F,$B29,
        [1]Main!$N:$N,$C29
    )&gt;0,
    "Active",
    IF(
        COUNTIFS(
            [2]Main!$F:$F,$B29,
            [2]Main!$N:$N,$C29
        )&gt;0,
        "Inactive",
        "Không tìm thấy"
    )
)</f>
        <v>Inactive</v>
      </c>
      <c r="X29" s="15" cm="1">
        <f t="array" ref="X29">IFERROR(
_xlfn.XLOOKUP(
1,
(TRIM(CLEAN(SUBSTITUTE([2]Main!$F$2:$F$5000,CHAR(160)," ")))=
TRIM(CLEAN(SUBSTITUTE($B29,CHAR(160)," "))))
*
(--TEXT([2]Main!$N$2:$N$5000,"dd/mm/yyyy")=
--TEXT($C29,"dd/mm/yyyy")),
[2]Main!$AA$2:$AA$5000,
""
),
"")</f>
        <v>46023</v>
      </c>
      <c r="Y29" s="3"/>
      <c r="Z29" s="3"/>
      <c r="AA29" s="3"/>
      <c r="AB29" s="3"/>
    </row>
    <row r="30" spans="1:28" ht="38.25" customHeight="1" x14ac:dyDescent="0.25">
      <c r="A30" s="1">
        <v>29</v>
      </c>
      <c r="B30" s="2" t="s">
        <v>182</v>
      </c>
      <c r="C30" s="2" t="s">
        <v>183</v>
      </c>
      <c r="D30" s="2" t="s">
        <v>184</v>
      </c>
      <c r="E30" s="2" t="s">
        <v>185</v>
      </c>
      <c r="F30" s="2" t="s">
        <v>186</v>
      </c>
      <c r="G30" s="2" t="s">
        <v>187</v>
      </c>
      <c r="H30" s="1" t="s">
        <v>181</v>
      </c>
      <c r="I30" s="1" t="s">
        <v>14</v>
      </c>
      <c r="J30" s="2" t="s">
        <v>15</v>
      </c>
      <c r="K30" s="13" t="str" cm="1">
        <f t="array" ref="K30">IFERROR(
_xlfn.XLOOKUP(
1,
(TRIM(CLEAN(SUBSTITUTE([1]Main!$F$2:$F$5000,CHAR(160)," ")))=
TRIM(CLEAN(SUBSTITUTE($B30,CHAR(160)," "))))
*
(--TEXT([1]Main!$N$2:$N$5000,"dd/mm/yyyy")=
--TEXT($C30,"dd/mm/yyyy")),
[1]Main!$C$2:$C$5000
),
_xlfn.XLOOKUP(
1,
(TRIM(CLEAN(SUBSTITUTE([2]Main!$F$2:$F$5000,CHAR(160)," ")))=
TRIM(CLEAN(SUBSTITUTE($B30,CHAR(160)," "))))
*
(--TEXT([2]Main!$N$2:$N$5000,"dd/mm/yyyy")=
--TEXT($C30,"dd/mm/yyyy")),
[2]Main!$C$2:$C$5000,
"Không tìm thấy"
)
)</f>
        <v>Không tìm thấy</v>
      </c>
      <c r="L30" s="13" t="str" cm="1">
        <f t="array" ref="L30">IFERROR(
_xlfn.XLOOKUP(
1,
(TRIM(CLEAN(SUBSTITUTE([1]Main!$F$2:$F$5000,CHAR(160)," ")))=
TRIM(CLEAN(SUBSTITUTE($B30,CHAR(160)," "))))
*
(--TEXT([1]Main!$N$2:$N$5000,"dd/mm/yyyy")=
--TEXT($C30,"dd/mm/yyyy")),
[1]Main!$Q$2:$Q$5000
),
_xlfn.XLOOKUP(
1,
(TRIM(CLEAN(SUBSTITUTE([2]Main!$F$2:$F$5000,CHAR(160)," ")))=
TRIM(CLEAN(SUBSTITUTE($B30,CHAR(160)," "))))
*
(--TEXT([2]Main!$N$2:$N$5000,"dd/mm/yyyy")=
--TEXT($C30,"dd/mm/yyyy")),
[2]Main!$Q$2:$Q$5000,
"Không tìm thấy"
)
)</f>
        <v>Không tìm thấy</v>
      </c>
      <c r="M30" s="13" t="str" cm="1">
        <f t="array" ref="M30">IFERROR(
_xlfn.XLOOKUP(
1,
(TRIM(CLEAN(SUBSTITUTE([1]Main!$F$2:$F$5000,CHAR(160)," ")))=
TRIM(CLEAN(SUBSTITUTE($B30,CHAR(160)," "))))
*
(--TEXT([1]Main!$N$2:$N$5000,"dd/mm/yyyy")=
--TEXT($C30,"dd/mm/yyyy")),
[1]Main!$S$2:$S$5000
),
_xlfn.XLOOKUP(
1,
(TRIM(CLEAN(SUBSTITUTE([2]Main!$F$2:$F$5000,CHAR(160)," ")))=
TRIM(CLEAN(SUBSTITUTE($B30,CHAR(160)," "))))
*
(--TEXT([2]Main!$N$2:$N$5000,"dd/mm/yyyy")=
--TEXT($C30,"dd/mm/yyyy")),
[2]Main!$S$2:$S$5000,
"Không tìm thấy"
)
)</f>
        <v>Không tìm thấy</v>
      </c>
      <c r="N30" s="13" t="str" cm="1">
        <f t="array" ref="N30">IFERROR(
_xlfn.XLOOKUP(
1,
(TRIM(CLEAN(SUBSTITUTE([1]Main!$F$2:$F$5000,CHAR(160)," ")))=
TRIM(CLEAN(SUBSTITUTE($B30,CHAR(160)," "))))
*
(--TEXT([1]Main!$N$2:$N$5000,"dd/mm/yyyy")=
--TEXT($C30,"dd/mm/yyyy")),
[1]Main!$AL$2:$AL$5000
),
_xlfn.XLOOKUP(
1,
(TRIM(CLEAN(SUBSTITUTE([2]Main!$F$2:$F$5000,CHAR(160)," ")))=
TRIM(CLEAN(SUBSTITUTE($B30,CHAR(160)," "))))
*
(--TEXT([2]Main!$N$2:$N$5000,"dd/mm/yyyy")=
--TEXT($C30,"dd/mm/yyyy")),
[2]Main!$AL$2:$AL$5000,
"Không tìm thấy"
)
)</f>
        <v>Không tìm thấy</v>
      </c>
      <c r="O30" s="10"/>
      <c r="P30" s="10"/>
      <c r="Q30" s="10"/>
      <c r="R30" s="10"/>
      <c r="S30" s="10"/>
      <c r="T30" s="3" t="s">
        <v>653</v>
      </c>
      <c r="U30" s="3"/>
      <c r="V30" s="3"/>
      <c r="W30" s="3" t="str">
        <f>IF(
    COUNTIFS(
        [1]Main!$F:$F,$B30,
        [1]Main!$N:$N,$C30
    )&gt;0,
    "Active",
    IF(
        COUNTIFS(
            [2]Main!$F:$F,$B30,
            [2]Main!$N:$N,$C30
        )&gt;0,
        "Inactive",
        "Không tìm thấy"
    )
)</f>
        <v>Không tìm thấy</v>
      </c>
      <c r="X30" s="15" t="str" cm="1">
        <f t="array" ref="X30">IFERROR(
_xlfn.XLOOKUP(
1,
(TRIM(CLEAN(SUBSTITUTE([2]Main!$F$2:$F$5000,CHAR(160)," ")))=
TRIM(CLEAN(SUBSTITUTE($B30,CHAR(160)," "))))
*
(--TEXT([2]Main!$N$2:$N$5000,"dd/mm/yyyy")=
--TEXT($C30,"dd/mm/yyyy")),
[2]Main!$AA$2:$AA$5000,
""
),
"")</f>
        <v/>
      </c>
      <c r="Y30" s="3"/>
      <c r="Z30" s="3"/>
      <c r="AA30" s="3"/>
      <c r="AB30" s="3"/>
    </row>
    <row r="31" spans="1:28" ht="38.25" customHeight="1" x14ac:dyDescent="0.25">
      <c r="A31" s="1">
        <v>30</v>
      </c>
      <c r="B31" s="2" t="s">
        <v>188</v>
      </c>
      <c r="C31" s="2" t="s">
        <v>189</v>
      </c>
      <c r="D31" s="2" t="s">
        <v>190</v>
      </c>
      <c r="E31" s="2" t="s">
        <v>34</v>
      </c>
      <c r="F31" s="2" t="s">
        <v>35</v>
      </c>
      <c r="G31" s="2" t="s">
        <v>36</v>
      </c>
      <c r="H31" s="1" t="s">
        <v>191</v>
      </c>
      <c r="I31" s="1" t="s">
        <v>38</v>
      </c>
      <c r="J31" s="2" t="s">
        <v>39</v>
      </c>
      <c r="K31" s="13" t="str" cm="1">
        <f t="array" ref="K31">IFERROR(
_xlfn.XLOOKUP(
1,
(TRIM(CLEAN(SUBSTITUTE([1]Main!$F$2:$F$5000,CHAR(160)," ")))=
TRIM(CLEAN(SUBSTITUTE($B31,CHAR(160)," "))))
*
(--TEXT([1]Main!$N$2:$N$5000,"dd/mm/yyyy")=
--TEXT($C31,"dd/mm/yyyy")),
[1]Main!$C$2:$C$5000
),
_xlfn.XLOOKUP(
1,
(TRIM(CLEAN(SUBSTITUTE([2]Main!$F$2:$F$5000,CHAR(160)," ")))=
TRIM(CLEAN(SUBSTITUTE($B31,CHAR(160)," "))))
*
(--TEXT([2]Main!$N$2:$N$5000,"dd/mm/yyyy")=
--TEXT($C31,"dd/mm/yyyy")),
[2]Main!$C$2:$C$5000,
"Không tìm thấy"
)
)</f>
        <v>030203004463</v>
      </c>
      <c r="L31" s="13" t="str" cm="1">
        <f t="array" ref="L31">IFERROR(
_xlfn.XLOOKUP(
1,
(TRIM(CLEAN(SUBSTITUTE([1]Main!$F$2:$F$5000,CHAR(160)," ")))=
TRIM(CLEAN(SUBSTITUTE($B31,CHAR(160)," "))))
*
(--TEXT([1]Main!$N$2:$N$5000,"dd/mm/yyyy")=
--TEXT($C31,"dd/mm/yyyy")),
[1]Main!$Q$2:$Q$5000
),
_xlfn.XLOOKUP(
1,
(TRIM(CLEAN(SUBSTITUTE([2]Main!$F$2:$F$5000,CHAR(160)," ")))=
TRIM(CLEAN(SUBSTITUTE($B31,CHAR(160)," "))))
*
(--TEXT([2]Main!$N$2:$N$5000,"dd/mm/yyyy")=
--TEXT($C31,"dd/mm/yyyy")),
[2]Main!$Q$2:$Q$5000,
"Không tìm thấy"
)
)</f>
        <v>Nam</v>
      </c>
      <c r="M31" s="13" t="str" cm="1">
        <f t="array" ref="M31">IFERROR(
_xlfn.XLOOKUP(
1,
(TRIM(CLEAN(SUBSTITUTE([1]Main!$F$2:$F$5000,CHAR(160)," ")))=
TRIM(CLEAN(SUBSTITUTE($B31,CHAR(160)," "))))
*
(--TEXT([1]Main!$N$2:$N$5000,"dd/mm/yyyy")=
--TEXT($C31,"dd/mm/yyyy")),
[1]Main!$S$2:$S$5000
),
_xlfn.XLOOKUP(
1,
(TRIM(CLEAN(SUBSTITUTE([2]Main!$F$2:$F$5000,CHAR(160)," ")))=
TRIM(CLEAN(SUBSTITUTE($B31,CHAR(160)," "))))
*
(--TEXT([2]Main!$N$2:$N$5000,"dd/mm/yyyy")=
--TEXT($C31,"dd/mm/yyyy")),
[2]Main!$S$2:$S$5000,
"Không tìm thấy"
)
)</f>
        <v>VN</v>
      </c>
      <c r="N31" s="13" t="str" cm="1">
        <f t="array" ref="N31">IFERROR(
_xlfn.XLOOKUP(
1,
(TRIM(CLEAN(SUBSTITUTE([1]Main!$F$2:$F$5000,CHAR(160)," ")))=
TRIM(CLEAN(SUBSTITUTE($B31,CHAR(160)," "))))
*
(--TEXT([1]Main!$N$2:$N$5000,"dd/mm/yyyy")=
--TEXT($C31,"dd/mm/yyyy")),
[1]Main!$AL$2:$AL$5000
),
_xlfn.XLOOKUP(
1,
(TRIM(CLEAN(SUBSTITUTE([2]Main!$F$2:$F$5000,CHAR(160)," ")))=
TRIM(CLEAN(SUBSTITUTE($B31,CHAR(160)," "))))
*
(--TEXT([2]Main!$N$2:$N$5000,"dd/mm/yyyy")=
--TEXT($C31,"dd/mm/yyyy")),
[2]Main!$AL$2:$AL$5000,
"Không tìm thấy"
)
)</f>
        <v>Thành phố Hà Nội</v>
      </c>
      <c r="O31" s="10"/>
      <c r="P31" s="10"/>
      <c r="Q31" s="10"/>
      <c r="R31" s="10"/>
      <c r="S31" s="10"/>
      <c r="T31" s="3" t="s">
        <v>653</v>
      </c>
      <c r="U31" s="3"/>
      <c r="V31" s="3"/>
      <c r="W31" s="3" t="str">
        <f>IF(
    COUNTIFS(
        [1]Main!$F:$F,$B31,
        [1]Main!$N:$N,$C31
    )&gt;0,
    "Active",
    IF(
        COUNTIFS(
            [2]Main!$F:$F,$B31,
            [2]Main!$N:$N,$C31
        )&gt;0,
        "Inactive",
        "Không tìm thấy"
    )
)</f>
        <v>Inactive</v>
      </c>
      <c r="X31" s="15" cm="1">
        <f t="array" ref="X31">IFERROR(
_xlfn.XLOOKUP(
1,
(TRIM(CLEAN(SUBSTITUTE([2]Main!$F$2:$F$5000,CHAR(160)," ")))=
TRIM(CLEAN(SUBSTITUTE($B31,CHAR(160)," "))))
*
(--TEXT([2]Main!$N$2:$N$5000,"dd/mm/yyyy")=
--TEXT($C31,"dd/mm/yyyy")),
[2]Main!$AA$2:$AA$5000,
""
),
"")</f>
        <v>46016</v>
      </c>
      <c r="Y31" s="3"/>
      <c r="Z31" s="3"/>
      <c r="AA31" s="3"/>
      <c r="AB31" s="3"/>
    </row>
    <row r="32" spans="1:28" ht="38.25" customHeight="1" x14ac:dyDescent="0.25">
      <c r="A32" s="1">
        <v>31</v>
      </c>
      <c r="B32" s="2" t="s">
        <v>192</v>
      </c>
      <c r="C32" s="2" t="s">
        <v>193</v>
      </c>
      <c r="D32" s="2" t="s">
        <v>194</v>
      </c>
      <c r="E32" s="2" t="s">
        <v>195</v>
      </c>
      <c r="F32" s="2" t="s">
        <v>61</v>
      </c>
      <c r="G32" s="2" t="s">
        <v>196</v>
      </c>
      <c r="H32" s="1" t="s">
        <v>197</v>
      </c>
      <c r="I32" s="1" t="s">
        <v>14</v>
      </c>
      <c r="J32" s="2" t="s">
        <v>198</v>
      </c>
      <c r="K32" s="13" t="str" cm="1">
        <f t="array" ref="K32">IFERROR(
_xlfn.XLOOKUP(
1,
(TRIM(CLEAN(SUBSTITUTE([1]Main!$F$2:$F$5000,CHAR(160)," ")))=
TRIM(CLEAN(SUBSTITUTE($B32,CHAR(160)," "))))
*
(--TEXT([1]Main!$N$2:$N$5000,"dd/mm/yyyy")=
--TEXT($C32,"dd/mm/yyyy")),
[1]Main!$C$2:$C$5000
),
_xlfn.XLOOKUP(
1,
(TRIM(CLEAN(SUBSTITUTE([2]Main!$F$2:$F$5000,CHAR(160)," ")))=
TRIM(CLEAN(SUBSTITUTE($B32,CHAR(160)," "))))
*
(--TEXT([2]Main!$N$2:$N$5000,"dd/mm/yyyy")=
--TEXT($C32,"dd/mm/yyyy")),
[2]Main!$C$2:$C$5000,
"Không tìm thấy"
)
)</f>
        <v>038192026024</v>
      </c>
      <c r="L32" s="13" t="str" cm="1">
        <f t="array" ref="L32">IFERROR(
_xlfn.XLOOKUP(
1,
(TRIM(CLEAN(SUBSTITUTE([1]Main!$F$2:$F$5000,CHAR(160)," ")))=
TRIM(CLEAN(SUBSTITUTE($B32,CHAR(160)," "))))
*
(--TEXT([1]Main!$N$2:$N$5000,"dd/mm/yyyy")=
--TEXT($C32,"dd/mm/yyyy")),
[1]Main!$Q$2:$Q$5000
),
_xlfn.XLOOKUP(
1,
(TRIM(CLEAN(SUBSTITUTE([2]Main!$F$2:$F$5000,CHAR(160)," ")))=
TRIM(CLEAN(SUBSTITUTE($B32,CHAR(160)," "))))
*
(--TEXT([2]Main!$N$2:$N$5000,"dd/mm/yyyy")=
--TEXT($C32,"dd/mm/yyyy")),
[2]Main!$Q$2:$Q$5000,
"Không tìm thấy"
)
)</f>
        <v>Nữ</v>
      </c>
      <c r="M32" s="13" t="str" cm="1">
        <f t="array" ref="M32">IFERROR(
_xlfn.XLOOKUP(
1,
(TRIM(CLEAN(SUBSTITUTE([1]Main!$F$2:$F$5000,CHAR(160)," ")))=
TRIM(CLEAN(SUBSTITUTE($B32,CHAR(160)," "))))
*
(--TEXT([1]Main!$N$2:$N$5000,"dd/mm/yyyy")=
--TEXT($C32,"dd/mm/yyyy")),
[1]Main!$S$2:$S$5000
),
_xlfn.XLOOKUP(
1,
(TRIM(CLEAN(SUBSTITUTE([2]Main!$F$2:$F$5000,CHAR(160)," ")))=
TRIM(CLEAN(SUBSTITUTE($B32,CHAR(160)," "))))
*
(--TEXT([2]Main!$N$2:$N$5000,"dd/mm/yyyy")=
--TEXT($C32,"dd/mm/yyyy")),
[2]Main!$S$2:$S$5000,
"Không tìm thấy"
)
)</f>
        <v>VN</v>
      </c>
      <c r="N32" s="13" t="str" cm="1">
        <f t="array" ref="N32">IFERROR(
_xlfn.XLOOKUP(
1,
(TRIM(CLEAN(SUBSTITUTE([1]Main!$F$2:$F$5000,CHAR(160)," ")))=
TRIM(CLEAN(SUBSTITUTE($B32,CHAR(160)," "))))
*
(--TEXT([1]Main!$N$2:$N$5000,"dd/mm/yyyy")=
--TEXT($C32,"dd/mm/yyyy")),
[1]Main!$AL$2:$AL$5000
),
_xlfn.XLOOKUP(
1,
(TRIM(CLEAN(SUBSTITUTE([2]Main!$F$2:$F$5000,CHAR(160)," ")))=
TRIM(CLEAN(SUBSTITUTE($B32,CHAR(160)," "))))
*
(--TEXT([2]Main!$N$2:$N$5000,"dd/mm/yyyy")=
--TEXT($C32,"dd/mm/yyyy")),
[2]Main!$AL$2:$AL$5000,
"Không tìm thấy"
)
)</f>
        <v>Thành phố Hà Nội</v>
      </c>
      <c r="O32" s="10"/>
      <c r="P32" s="10"/>
      <c r="Q32" s="10"/>
      <c r="R32" s="10"/>
      <c r="S32" s="10"/>
      <c r="T32" s="3" t="s">
        <v>653</v>
      </c>
      <c r="U32" s="3"/>
      <c r="V32" s="3"/>
      <c r="W32" s="3" t="str">
        <f>IF(
    COUNTIFS(
        [1]Main!$F:$F,$B32,
        [1]Main!$N:$N,$C32
    )&gt;0,
    "Active",
    IF(
        COUNTIFS(
            [2]Main!$F:$F,$B32,
            [2]Main!$N:$N,$C32
        )&gt;0,
        "Inactive",
        "Không tìm thấy"
    )
)</f>
        <v>Active</v>
      </c>
      <c r="X32" s="15" t="str" cm="1">
        <f t="array" ref="X32">IFERROR(
_xlfn.XLOOKUP(
1,
(TRIM(CLEAN(SUBSTITUTE([2]Main!$F$2:$F$5000,CHAR(160)," ")))=
TRIM(CLEAN(SUBSTITUTE($B32,CHAR(160)," "))))
*
(--TEXT([2]Main!$N$2:$N$5000,"dd/mm/yyyy")=
--TEXT($C32,"dd/mm/yyyy")),
[2]Main!$AA$2:$AA$5000,
""
),
"")</f>
        <v/>
      </c>
      <c r="Y32" s="3"/>
      <c r="Z32" s="3"/>
      <c r="AA32" s="3"/>
      <c r="AB32" s="3"/>
    </row>
    <row r="33" spans="1:28" ht="25.5" customHeight="1" x14ac:dyDescent="0.25">
      <c r="A33" s="1">
        <v>32</v>
      </c>
      <c r="B33" s="2" t="s">
        <v>199</v>
      </c>
      <c r="C33" s="2" t="s">
        <v>200</v>
      </c>
      <c r="D33" s="2" t="s">
        <v>201</v>
      </c>
      <c r="E33" s="2" t="s">
        <v>202</v>
      </c>
      <c r="F33" s="2" t="s">
        <v>203</v>
      </c>
      <c r="G33" s="2" t="s">
        <v>204</v>
      </c>
      <c r="H33" s="1" t="s">
        <v>197</v>
      </c>
      <c r="I33" s="1" t="s">
        <v>14</v>
      </c>
      <c r="J33" s="2" t="s">
        <v>15</v>
      </c>
      <c r="K33" s="13" t="str" cm="1">
        <f t="array" ref="K33">IFERROR(
_xlfn.XLOOKUP(
1,
(TRIM(CLEAN(SUBSTITUTE([1]Main!$F$2:$F$5000,CHAR(160)," ")))=
TRIM(CLEAN(SUBSTITUTE($B33,CHAR(160)," "))))
*
(--TEXT([1]Main!$N$2:$N$5000,"dd/mm/yyyy")=
--TEXT($C33,"dd/mm/yyyy")),
[1]Main!$C$2:$C$5000
),
_xlfn.XLOOKUP(
1,
(TRIM(CLEAN(SUBSTITUTE([2]Main!$F$2:$F$5000,CHAR(160)," ")))=
TRIM(CLEAN(SUBSTITUTE($B33,CHAR(160)," "))))
*
(--TEXT([2]Main!$N$2:$N$5000,"dd/mm/yyyy")=
--TEXT($C33,"dd/mm/yyyy")),
[2]Main!$C$2:$C$5000,
"Không tìm thấy"
)
)</f>
        <v>001191020375</v>
      </c>
      <c r="L33" s="13" t="str" cm="1">
        <f t="array" ref="L33">IFERROR(
_xlfn.XLOOKUP(
1,
(TRIM(CLEAN(SUBSTITUTE([1]Main!$F$2:$F$5000,CHAR(160)," ")))=
TRIM(CLEAN(SUBSTITUTE($B33,CHAR(160)," "))))
*
(--TEXT([1]Main!$N$2:$N$5000,"dd/mm/yyyy")=
--TEXT($C33,"dd/mm/yyyy")),
[1]Main!$Q$2:$Q$5000
),
_xlfn.XLOOKUP(
1,
(TRIM(CLEAN(SUBSTITUTE([2]Main!$F$2:$F$5000,CHAR(160)," ")))=
TRIM(CLEAN(SUBSTITUTE($B33,CHAR(160)," "))))
*
(--TEXT([2]Main!$N$2:$N$5000,"dd/mm/yyyy")=
--TEXT($C33,"dd/mm/yyyy")),
[2]Main!$Q$2:$Q$5000,
"Không tìm thấy"
)
)</f>
        <v>Nữ</v>
      </c>
      <c r="M33" s="13" t="str" cm="1">
        <f t="array" ref="M33">IFERROR(
_xlfn.XLOOKUP(
1,
(TRIM(CLEAN(SUBSTITUTE([1]Main!$F$2:$F$5000,CHAR(160)," ")))=
TRIM(CLEAN(SUBSTITUTE($B33,CHAR(160)," "))))
*
(--TEXT([1]Main!$N$2:$N$5000,"dd/mm/yyyy")=
--TEXT($C33,"dd/mm/yyyy")),
[1]Main!$S$2:$S$5000
),
_xlfn.XLOOKUP(
1,
(TRIM(CLEAN(SUBSTITUTE([2]Main!$F$2:$F$5000,CHAR(160)," ")))=
TRIM(CLEAN(SUBSTITUTE($B33,CHAR(160)," "))))
*
(--TEXT([2]Main!$N$2:$N$5000,"dd/mm/yyyy")=
--TEXT($C33,"dd/mm/yyyy")),
[2]Main!$S$2:$S$5000,
"Không tìm thấy"
)
)</f>
        <v>VN</v>
      </c>
      <c r="N33" s="13" t="str" cm="1">
        <f t="array" ref="N33">IFERROR(
_xlfn.XLOOKUP(
1,
(TRIM(CLEAN(SUBSTITUTE([1]Main!$F$2:$F$5000,CHAR(160)," ")))=
TRIM(CLEAN(SUBSTITUTE($B33,CHAR(160)," "))))
*
(--TEXT([1]Main!$N$2:$N$5000,"dd/mm/yyyy")=
--TEXT($C33,"dd/mm/yyyy")),
[1]Main!$AL$2:$AL$5000
),
_xlfn.XLOOKUP(
1,
(TRIM(CLEAN(SUBSTITUTE([2]Main!$F$2:$F$5000,CHAR(160)," ")))=
TRIM(CLEAN(SUBSTITUTE($B33,CHAR(160)," "))))
*
(--TEXT([2]Main!$N$2:$N$5000,"dd/mm/yyyy")=
--TEXT($C33,"dd/mm/yyyy")),
[2]Main!$AL$2:$AL$5000,
"Không tìm thấy"
)
)</f>
        <v>Thành phố Hà Nội</v>
      </c>
      <c r="O33" s="10"/>
      <c r="P33" s="10"/>
      <c r="Q33" s="10"/>
      <c r="R33" s="10"/>
      <c r="S33" s="10"/>
      <c r="T33" s="3" t="s">
        <v>653</v>
      </c>
      <c r="U33" s="3"/>
      <c r="V33" s="3"/>
      <c r="W33" s="3" t="str">
        <f>IF(
    COUNTIFS(
        [1]Main!$F:$F,$B33,
        [1]Main!$N:$N,$C33
    )&gt;0,
    "Active",
    IF(
        COUNTIFS(
            [2]Main!$F:$F,$B33,
            [2]Main!$N:$N,$C33
        )&gt;0,
        "Inactive",
        "Không tìm thấy"
    )
)</f>
        <v>Active</v>
      </c>
      <c r="X33" s="15" t="str" cm="1">
        <f t="array" ref="X33">IFERROR(
_xlfn.XLOOKUP(
1,
(TRIM(CLEAN(SUBSTITUTE([2]Main!$F$2:$F$5000,CHAR(160)," ")))=
TRIM(CLEAN(SUBSTITUTE($B33,CHAR(160)," "))))
*
(--TEXT([2]Main!$N$2:$N$5000,"dd/mm/yyyy")=
--TEXT($C33,"dd/mm/yyyy")),
[2]Main!$AA$2:$AA$5000,
""
),
"")</f>
        <v/>
      </c>
      <c r="Y33" s="3"/>
      <c r="Z33" s="3"/>
      <c r="AA33" s="3"/>
      <c r="AB33" s="3"/>
    </row>
    <row r="34" spans="1:28" ht="38.25" customHeight="1" x14ac:dyDescent="0.25">
      <c r="A34" s="1">
        <v>33</v>
      </c>
      <c r="B34" s="2" t="s">
        <v>205</v>
      </c>
      <c r="C34" s="2" t="s">
        <v>206</v>
      </c>
      <c r="D34" s="2" t="s">
        <v>207</v>
      </c>
      <c r="E34" s="2" t="s">
        <v>185</v>
      </c>
      <c r="F34" s="2" t="s">
        <v>186</v>
      </c>
      <c r="G34" s="2" t="s">
        <v>208</v>
      </c>
      <c r="H34" s="1" t="s">
        <v>209</v>
      </c>
      <c r="I34" s="1" t="s">
        <v>14</v>
      </c>
      <c r="J34" s="2" t="s">
        <v>15</v>
      </c>
      <c r="K34" s="13" t="str" cm="1">
        <f t="array" ref="K34">IFERROR(
_xlfn.XLOOKUP(
1,
(TRIM(CLEAN(SUBSTITUTE([1]Main!$F$2:$F$5000,CHAR(160)," ")))=
TRIM(CLEAN(SUBSTITUTE($B34,CHAR(160)," "))))
*
(--TEXT([1]Main!$N$2:$N$5000,"dd/mm/yyyy")=
--TEXT($C34,"dd/mm/yyyy")),
[1]Main!$C$2:$C$5000
),
_xlfn.XLOOKUP(
1,
(TRIM(CLEAN(SUBSTITUTE([2]Main!$F$2:$F$5000,CHAR(160)," ")))=
TRIM(CLEAN(SUBSTITUTE($B34,CHAR(160)," "))))
*
(--TEXT([2]Main!$N$2:$N$5000,"dd/mm/yyyy")=
--TEXT($C34,"dd/mm/yyyy")),
[2]Main!$C$2:$C$5000,
"Không tìm thấy"
)
)</f>
        <v>019304004514</v>
      </c>
      <c r="L34" s="13" t="str" cm="1">
        <f t="array" ref="L34">IFERROR(
_xlfn.XLOOKUP(
1,
(TRIM(CLEAN(SUBSTITUTE([1]Main!$F$2:$F$5000,CHAR(160)," ")))=
TRIM(CLEAN(SUBSTITUTE($B34,CHAR(160)," "))))
*
(--TEXT([1]Main!$N$2:$N$5000,"dd/mm/yyyy")=
--TEXT($C34,"dd/mm/yyyy")),
[1]Main!$Q$2:$Q$5000
),
_xlfn.XLOOKUP(
1,
(TRIM(CLEAN(SUBSTITUTE([2]Main!$F$2:$F$5000,CHAR(160)," ")))=
TRIM(CLEAN(SUBSTITUTE($B34,CHAR(160)," "))))
*
(--TEXT([2]Main!$N$2:$N$5000,"dd/mm/yyyy")=
--TEXT($C34,"dd/mm/yyyy")),
[2]Main!$Q$2:$Q$5000,
"Không tìm thấy"
)
)</f>
        <v>Nữ</v>
      </c>
      <c r="M34" s="13" t="str" cm="1">
        <f t="array" ref="M34">IFERROR(
_xlfn.XLOOKUP(
1,
(TRIM(CLEAN(SUBSTITUTE([1]Main!$F$2:$F$5000,CHAR(160)," ")))=
TRIM(CLEAN(SUBSTITUTE($B34,CHAR(160)," "))))
*
(--TEXT([1]Main!$N$2:$N$5000,"dd/mm/yyyy")=
--TEXT($C34,"dd/mm/yyyy")),
[1]Main!$S$2:$S$5000
),
_xlfn.XLOOKUP(
1,
(TRIM(CLEAN(SUBSTITUTE([2]Main!$F$2:$F$5000,CHAR(160)," ")))=
TRIM(CLEAN(SUBSTITUTE($B34,CHAR(160)," "))))
*
(--TEXT([2]Main!$N$2:$N$5000,"dd/mm/yyyy")=
--TEXT($C34,"dd/mm/yyyy")),
[2]Main!$S$2:$S$5000,
"Không tìm thấy"
)
)</f>
        <v>VN</v>
      </c>
      <c r="N34" s="13" t="str" cm="1">
        <f t="array" ref="N34">IFERROR(
_xlfn.XLOOKUP(
1,
(TRIM(CLEAN(SUBSTITUTE([1]Main!$F$2:$F$5000,CHAR(160)," ")))=
TRIM(CLEAN(SUBSTITUTE($B34,CHAR(160)," "))))
*
(--TEXT([1]Main!$N$2:$N$5000,"dd/mm/yyyy")=
--TEXT($C34,"dd/mm/yyyy")),
[1]Main!$AL$2:$AL$5000
),
_xlfn.XLOOKUP(
1,
(TRIM(CLEAN(SUBSTITUTE([2]Main!$F$2:$F$5000,CHAR(160)," ")))=
TRIM(CLEAN(SUBSTITUTE($B34,CHAR(160)," "))))
*
(--TEXT([2]Main!$N$2:$N$5000,"dd/mm/yyyy")=
--TEXT($C34,"dd/mm/yyyy")),
[2]Main!$AL$2:$AL$5000,
"Không tìm thấy"
)
)</f>
        <v>Thành phố Hà Nội</v>
      </c>
      <c r="O34" s="10"/>
      <c r="P34" s="10"/>
      <c r="Q34" s="10"/>
      <c r="R34" s="10"/>
      <c r="S34" s="10"/>
      <c r="T34" s="3" t="s">
        <v>653</v>
      </c>
      <c r="U34" s="3"/>
      <c r="V34" s="3"/>
      <c r="W34" s="3" t="str">
        <f>IF(
    COUNTIFS(
        [1]Main!$F:$F,$B34,
        [1]Main!$N:$N,$C34
    )&gt;0,
    "Active",
    IF(
        COUNTIFS(
            [2]Main!$F:$F,$B34,
            [2]Main!$N:$N,$C34
        )&gt;0,
        "Inactive",
        "Không tìm thấy"
    )
)</f>
        <v>Inactive</v>
      </c>
      <c r="X34" s="15" cm="1">
        <f t="array" ref="X34">IFERROR(
_xlfn.XLOOKUP(
1,
(TRIM(CLEAN(SUBSTITUTE([2]Main!$F$2:$F$5000,CHAR(160)," ")))=
TRIM(CLEAN(SUBSTITUTE($B34,CHAR(160)," "))))
*
(--TEXT([2]Main!$N$2:$N$5000,"dd/mm/yyyy")=
--TEXT($C34,"dd/mm/yyyy")),
[2]Main!$AA$2:$AA$5000,
""
),
"")</f>
        <v>46148</v>
      </c>
      <c r="Y34" s="3"/>
      <c r="Z34" s="3"/>
      <c r="AA34" s="3"/>
      <c r="AB34" s="3"/>
    </row>
    <row r="35" spans="1:28" ht="38.25" customHeight="1" x14ac:dyDescent="0.25">
      <c r="A35" s="1">
        <v>34</v>
      </c>
      <c r="B35" s="2" t="s">
        <v>210</v>
      </c>
      <c r="C35" s="2" t="s">
        <v>211</v>
      </c>
      <c r="D35" s="2" t="s">
        <v>212</v>
      </c>
      <c r="E35" s="2" t="s">
        <v>213</v>
      </c>
      <c r="F35" s="2" t="s">
        <v>214</v>
      </c>
      <c r="G35" s="2" t="s">
        <v>215</v>
      </c>
      <c r="H35" s="1" t="s">
        <v>216</v>
      </c>
      <c r="I35" s="1" t="s">
        <v>14</v>
      </c>
      <c r="J35" s="2" t="s">
        <v>15</v>
      </c>
      <c r="K35" s="13" t="str" cm="1">
        <f t="array" ref="K35">IFERROR(
_xlfn.XLOOKUP(
1,
(TRIM(CLEAN(SUBSTITUTE([1]Main!$F$2:$F$5000,CHAR(160)," ")))=
TRIM(CLEAN(SUBSTITUTE($B35,CHAR(160)," "))))
*
(--TEXT([1]Main!$N$2:$N$5000,"dd/mm/yyyy")=
--TEXT($C35,"dd/mm/yyyy")),
[1]Main!$C$2:$C$5000
),
_xlfn.XLOOKUP(
1,
(TRIM(CLEAN(SUBSTITUTE([2]Main!$F$2:$F$5000,CHAR(160)," ")))=
TRIM(CLEAN(SUBSTITUTE($B35,CHAR(160)," "))))
*
(--TEXT([2]Main!$N$2:$N$5000,"dd/mm/yyyy")=
--TEXT($C35,"dd/mm/yyyy")),
[2]Main!$C$2:$C$5000,
"Không tìm thấy"
)
)</f>
        <v>Không tìm thấy</v>
      </c>
      <c r="L35" s="13" t="str" cm="1">
        <f t="array" ref="L35">IFERROR(
_xlfn.XLOOKUP(
1,
(TRIM(CLEAN(SUBSTITUTE([1]Main!$F$2:$F$5000,CHAR(160)," ")))=
TRIM(CLEAN(SUBSTITUTE($B35,CHAR(160)," "))))
*
(--TEXT([1]Main!$N$2:$N$5000,"dd/mm/yyyy")=
--TEXT($C35,"dd/mm/yyyy")),
[1]Main!$Q$2:$Q$5000
),
_xlfn.XLOOKUP(
1,
(TRIM(CLEAN(SUBSTITUTE([2]Main!$F$2:$F$5000,CHAR(160)," ")))=
TRIM(CLEAN(SUBSTITUTE($B35,CHAR(160)," "))))
*
(--TEXT([2]Main!$N$2:$N$5000,"dd/mm/yyyy")=
--TEXT($C35,"dd/mm/yyyy")),
[2]Main!$Q$2:$Q$5000,
"Không tìm thấy"
)
)</f>
        <v>Không tìm thấy</v>
      </c>
      <c r="M35" s="13" t="str" cm="1">
        <f t="array" ref="M35">IFERROR(
_xlfn.XLOOKUP(
1,
(TRIM(CLEAN(SUBSTITUTE([1]Main!$F$2:$F$5000,CHAR(160)," ")))=
TRIM(CLEAN(SUBSTITUTE($B35,CHAR(160)," "))))
*
(--TEXT([1]Main!$N$2:$N$5000,"dd/mm/yyyy")=
--TEXT($C35,"dd/mm/yyyy")),
[1]Main!$S$2:$S$5000
),
_xlfn.XLOOKUP(
1,
(TRIM(CLEAN(SUBSTITUTE([2]Main!$F$2:$F$5000,CHAR(160)," ")))=
TRIM(CLEAN(SUBSTITUTE($B35,CHAR(160)," "))))
*
(--TEXT([2]Main!$N$2:$N$5000,"dd/mm/yyyy")=
--TEXT($C35,"dd/mm/yyyy")),
[2]Main!$S$2:$S$5000,
"Không tìm thấy"
)
)</f>
        <v>Không tìm thấy</v>
      </c>
      <c r="N35" s="13" t="str" cm="1">
        <f t="array" ref="N35">IFERROR(
_xlfn.XLOOKUP(
1,
(TRIM(CLEAN(SUBSTITUTE([1]Main!$F$2:$F$5000,CHAR(160)," ")))=
TRIM(CLEAN(SUBSTITUTE($B35,CHAR(160)," "))))
*
(--TEXT([1]Main!$N$2:$N$5000,"dd/mm/yyyy")=
--TEXT($C35,"dd/mm/yyyy")),
[1]Main!$AL$2:$AL$5000
),
_xlfn.XLOOKUP(
1,
(TRIM(CLEAN(SUBSTITUTE([2]Main!$F$2:$F$5000,CHAR(160)," ")))=
TRIM(CLEAN(SUBSTITUTE($B35,CHAR(160)," "))))
*
(--TEXT([2]Main!$N$2:$N$5000,"dd/mm/yyyy")=
--TEXT($C35,"dd/mm/yyyy")),
[2]Main!$AL$2:$AL$5000,
"Không tìm thấy"
)
)</f>
        <v>Không tìm thấy</v>
      </c>
      <c r="O35" s="10"/>
      <c r="P35" s="10"/>
      <c r="Q35" s="10"/>
      <c r="R35" s="10"/>
      <c r="S35" s="10"/>
      <c r="T35" s="3" t="s">
        <v>653</v>
      </c>
      <c r="U35" s="3"/>
      <c r="V35" s="3"/>
      <c r="W35" s="3" t="str">
        <f>IF(
    COUNTIFS(
        [1]Main!$F:$F,$B35,
        [1]Main!$N:$N,$C35
    )&gt;0,
    "Active",
    IF(
        COUNTIFS(
            [2]Main!$F:$F,$B35,
            [2]Main!$N:$N,$C35
        )&gt;0,
        "Inactive",
        "Không tìm thấy"
    )
)</f>
        <v>Không tìm thấy</v>
      </c>
      <c r="X35" s="15" t="str" cm="1">
        <f t="array" ref="X35">IFERROR(
_xlfn.XLOOKUP(
1,
(TRIM(CLEAN(SUBSTITUTE([2]Main!$F$2:$F$5000,CHAR(160)," ")))=
TRIM(CLEAN(SUBSTITUTE($B35,CHAR(160)," "))))
*
(--TEXT([2]Main!$N$2:$N$5000,"dd/mm/yyyy")=
--TEXT($C35,"dd/mm/yyyy")),
[2]Main!$AA$2:$AA$5000,
""
),
"")</f>
        <v/>
      </c>
      <c r="Y35" s="3"/>
      <c r="Z35" s="3"/>
      <c r="AA35" s="3"/>
      <c r="AB35" s="3"/>
    </row>
    <row r="36" spans="1:28" ht="38.25" customHeight="1" x14ac:dyDescent="0.25">
      <c r="A36" s="1">
        <v>35</v>
      </c>
      <c r="B36" s="2" t="s">
        <v>217</v>
      </c>
      <c r="C36" s="2" t="s">
        <v>218</v>
      </c>
      <c r="D36" s="2" t="s">
        <v>219</v>
      </c>
      <c r="E36" s="2" t="s">
        <v>160</v>
      </c>
      <c r="F36" s="2" t="s">
        <v>141</v>
      </c>
      <c r="G36" s="2" t="s">
        <v>99</v>
      </c>
      <c r="H36" s="1" t="s">
        <v>220</v>
      </c>
      <c r="I36" s="1" t="s">
        <v>14</v>
      </c>
      <c r="J36" s="2" t="s">
        <v>30</v>
      </c>
      <c r="K36" s="13" t="str" cm="1">
        <f t="array" ref="K36">IFERROR(
_xlfn.XLOOKUP(
1,
(TRIM(CLEAN(SUBSTITUTE([1]Main!$F$2:$F$5000,CHAR(160)," ")))=
TRIM(CLEAN(SUBSTITUTE($B36,CHAR(160)," "))))
*
(--TEXT([1]Main!$N$2:$N$5000,"dd/mm/yyyy")=
--TEXT($C36,"dd/mm/yyyy")),
[1]Main!$C$2:$C$5000
),
_xlfn.XLOOKUP(
1,
(TRIM(CLEAN(SUBSTITUTE([2]Main!$F$2:$F$5000,CHAR(160)," ")))=
TRIM(CLEAN(SUBSTITUTE($B36,CHAR(160)," "))))
*
(--TEXT([2]Main!$N$2:$N$5000,"dd/mm/yyyy")=
--TEXT($C36,"dd/mm/yyyy")),
[2]Main!$C$2:$C$5000,
"Không tìm thấy"
)
)</f>
        <v>037095001664</v>
      </c>
      <c r="L36" s="13" t="str" cm="1">
        <f t="array" ref="L36">IFERROR(
_xlfn.XLOOKUP(
1,
(TRIM(CLEAN(SUBSTITUTE([1]Main!$F$2:$F$5000,CHAR(160)," ")))=
TRIM(CLEAN(SUBSTITUTE($B36,CHAR(160)," "))))
*
(--TEXT([1]Main!$N$2:$N$5000,"dd/mm/yyyy")=
--TEXT($C36,"dd/mm/yyyy")),
[1]Main!$Q$2:$Q$5000
),
_xlfn.XLOOKUP(
1,
(TRIM(CLEAN(SUBSTITUTE([2]Main!$F$2:$F$5000,CHAR(160)," ")))=
TRIM(CLEAN(SUBSTITUTE($B36,CHAR(160)," "))))
*
(--TEXT([2]Main!$N$2:$N$5000,"dd/mm/yyyy")=
--TEXT($C36,"dd/mm/yyyy")),
[2]Main!$Q$2:$Q$5000,
"Không tìm thấy"
)
)</f>
        <v>Nam</v>
      </c>
      <c r="M36" s="13" t="str" cm="1">
        <f t="array" ref="M36">IFERROR(
_xlfn.XLOOKUP(
1,
(TRIM(CLEAN(SUBSTITUTE([1]Main!$F$2:$F$5000,CHAR(160)," ")))=
TRIM(CLEAN(SUBSTITUTE($B36,CHAR(160)," "))))
*
(--TEXT([1]Main!$N$2:$N$5000,"dd/mm/yyyy")=
--TEXT($C36,"dd/mm/yyyy")),
[1]Main!$S$2:$S$5000
),
_xlfn.XLOOKUP(
1,
(TRIM(CLEAN(SUBSTITUTE([2]Main!$F$2:$F$5000,CHAR(160)," ")))=
TRIM(CLEAN(SUBSTITUTE($B36,CHAR(160)," "))))
*
(--TEXT([2]Main!$N$2:$N$5000,"dd/mm/yyyy")=
--TEXT($C36,"dd/mm/yyyy")),
[2]Main!$S$2:$S$5000,
"Không tìm thấy"
)
)</f>
        <v>VN</v>
      </c>
      <c r="N36" s="13" t="str" cm="1">
        <f t="array" ref="N36">IFERROR(
_xlfn.XLOOKUP(
1,
(TRIM(CLEAN(SUBSTITUTE([1]Main!$F$2:$F$5000,CHAR(160)," ")))=
TRIM(CLEAN(SUBSTITUTE($B36,CHAR(160)," "))))
*
(--TEXT([1]Main!$N$2:$N$5000,"dd/mm/yyyy")=
--TEXT($C36,"dd/mm/yyyy")),
[1]Main!$AL$2:$AL$5000
),
_xlfn.XLOOKUP(
1,
(TRIM(CLEAN(SUBSTITUTE([2]Main!$F$2:$F$5000,CHAR(160)," ")))=
TRIM(CLEAN(SUBSTITUTE($B36,CHAR(160)," "))))
*
(--TEXT([2]Main!$N$2:$N$5000,"dd/mm/yyyy")=
--TEXT($C36,"dd/mm/yyyy")),
[2]Main!$AL$2:$AL$5000,
"Không tìm thấy"
)
)</f>
        <v>Thành phố Hà Nội</v>
      </c>
      <c r="O36" s="10"/>
      <c r="P36" s="10"/>
      <c r="Q36" s="10"/>
      <c r="R36" s="10"/>
      <c r="S36" s="10"/>
      <c r="T36" s="3" t="s">
        <v>653</v>
      </c>
      <c r="U36" s="3"/>
      <c r="V36" s="3"/>
      <c r="W36" s="3" t="str">
        <f>IF(
    COUNTIFS(
        [1]Main!$F:$F,$B36,
        [1]Main!$N:$N,$C36
    )&gt;0,
    "Active",
    IF(
        COUNTIFS(
            [2]Main!$F:$F,$B36,
            [2]Main!$N:$N,$C36
        )&gt;0,
        "Inactive",
        "Không tìm thấy"
    )
)</f>
        <v>Active</v>
      </c>
      <c r="X36" s="15" t="str" cm="1">
        <f t="array" ref="X36">IFERROR(
_xlfn.XLOOKUP(
1,
(TRIM(CLEAN(SUBSTITUTE([2]Main!$F$2:$F$5000,CHAR(160)," ")))=
TRIM(CLEAN(SUBSTITUTE($B36,CHAR(160)," "))))
*
(--TEXT([2]Main!$N$2:$N$5000,"dd/mm/yyyy")=
--TEXT($C36,"dd/mm/yyyy")),
[2]Main!$AA$2:$AA$5000,
""
),
"")</f>
        <v/>
      </c>
      <c r="Y36" s="3"/>
      <c r="Z36" s="3"/>
      <c r="AA36" s="3"/>
      <c r="AB36" s="3"/>
    </row>
    <row r="37" spans="1:28" ht="38.25" customHeight="1" x14ac:dyDescent="0.25">
      <c r="A37" s="1">
        <v>36</v>
      </c>
      <c r="B37" s="2" t="s">
        <v>221</v>
      </c>
      <c r="C37" s="2" t="s">
        <v>102</v>
      </c>
      <c r="D37" s="2" t="s">
        <v>222</v>
      </c>
      <c r="E37" s="2" t="s">
        <v>223</v>
      </c>
      <c r="F37" s="2" t="s">
        <v>35</v>
      </c>
      <c r="G37" s="2" t="s">
        <v>36</v>
      </c>
      <c r="H37" s="1" t="s">
        <v>224</v>
      </c>
      <c r="I37" s="1" t="s">
        <v>14</v>
      </c>
      <c r="J37" s="2" t="s">
        <v>39</v>
      </c>
      <c r="K37" s="13" t="str" cm="1">
        <f t="array" ref="K37">IFERROR(
_xlfn.XLOOKUP(
1,
(TRIM(CLEAN(SUBSTITUTE([1]Main!$F$2:$F$5000,CHAR(160)," ")))=
TRIM(CLEAN(SUBSTITUTE($B37,CHAR(160)," "))))
*
(--TEXT([1]Main!$N$2:$N$5000,"dd/mm/yyyy")=
--TEXT($C37,"dd/mm/yyyy")),
[1]Main!$C$2:$C$5000
),
_xlfn.XLOOKUP(
1,
(TRIM(CLEAN(SUBSTITUTE([2]Main!$F$2:$F$5000,CHAR(160)," ")))=
TRIM(CLEAN(SUBSTITUTE($B37,CHAR(160)," "))))
*
(--TEXT([2]Main!$N$2:$N$5000,"dd/mm/yyyy")=
--TEXT($C37,"dd/mm/yyyy")),
[2]Main!$C$2:$C$5000,
"Không tìm thấy"
)
)</f>
        <v>Không tìm thấy</v>
      </c>
      <c r="L37" s="13" t="str" cm="1">
        <f t="array" ref="L37">IFERROR(
_xlfn.XLOOKUP(
1,
(TRIM(CLEAN(SUBSTITUTE([1]Main!$F$2:$F$5000,CHAR(160)," ")))=
TRIM(CLEAN(SUBSTITUTE($B37,CHAR(160)," "))))
*
(--TEXT([1]Main!$N$2:$N$5000,"dd/mm/yyyy")=
--TEXT($C37,"dd/mm/yyyy")),
[1]Main!$Q$2:$Q$5000
),
_xlfn.XLOOKUP(
1,
(TRIM(CLEAN(SUBSTITUTE([2]Main!$F$2:$F$5000,CHAR(160)," ")))=
TRIM(CLEAN(SUBSTITUTE($B37,CHAR(160)," "))))
*
(--TEXT([2]Main!$N$2:$N$5000,"dd/mm/yyyy")=
--TEXT($C37,"dd/mm/yyyy")),
[2]Main!$Q$2:$Q$5000,
"Không tìm thấy"
)
)</f>
        <v>Không tìm thấy</v>
      </c>
      <c r="M37" s="13" t="str" cm="1">
        <f t="array" ref="M37">IFERROR(
_xlfn.XLOOKUP(
1,
(TRIM(CLEAN(SUBSTITUTE([1]Main!$F$2:$F$5000,CHAR(160)," ")))=
TRIM(CLEAN(SUBSTITUTE($B37,CHAR(160)," "))))
*
(--TEXT([1]Main!$N$2:$N$5000,"dd/mm/yyyy")=
--TEXT($C37,"dd/mm/yyyy")),
[1]Main!$S$2:$S$5000
),
_xlfn.XLOOKUP(
1,
(TRIM(CLEAN(SUBSTITUTE([2]Main!$F$2:$F$5000,CHAR(160)," ")))=
TRIM(CLEAN(SUBSTITUTE($B37,CHAR(160)," "))))
*
(--TEXT([2]Main!$N$2:$N$5000,"dd/mm/yyyy")=
--TEXT($C37,"dd/mm/yyyy")),
[2]Main!$S$2:$S$5000,
"Không tìm thấy"
)
)</f>
        <v>Không tìm thấy</v>
      </c>
      <c r="N37" s="13" t="str" cm="1">
        <f t="array" ref="N37">IFERROR(
_xlfn.XLOOKUP(
1,
(TRIM(CLEAN(SUBSTITUTE([1]Main!$F$2:$F$5000,CHAR(160)," ")))=
TRIM(CLEAN(SUBSTITUTE($B37,CHAR(160)," "))))
*
(--TEXT([1]Main!$N$2:$N$5000,"dd/mm/yyyy")=
--TEXT($C37,"dd/mm/yyyy")),
[1]Main!$AL$2:$AL$5000
),
_xlfn.XLOOKUP(
1,
(TRIM(CLEAN(SUBSTITUTE([2]Main!$F$2:$F$5000,CHAR(160)," ")))=
TRIM(CLEAN(SUBSTITUTE($B37,CHAR(160)," "))))
*
(--TEXT([2]Main!$N$2:$N$5000,"dd/mm/yyyy")=
--TEXT($C37,"dd/mm/yyyy")),
[2]Main!$AL$2:$AL$5000,
"Không tìm thấy"
)
)</f>
        <v>Không tìm thấy</v>
      </c>
      <c r="O37" s="10"/>
      <c r="P37" s="10"/>
      <c r="Q37" s="10"/>
      <c r="R37" s="10"/>
      <c r="S37" s="10"/>
      <c r="T37" s="3" t="s">
        <v>653</v>
      </c>
      <c r="U37" s="3"/>
      <c r="V37" s="3"/>
      <c r="W37" s="3" t="str">
        <f>IF(
    COUNTIFS(
        [1]Main!$F:$F,$B37,
        [1]Main!$N:$N,$C37
    )&gt;0,
    "Active",
    IF(
        COUNTIFS(
            [2]Main!$F:$F,$B37,
            [2]Main!$N:$N,$C37
        )&gt;0,
        "Inactive",
        "Không tìm thấy"
    )
)</f>
        <v>Không tìm thấy</v>
      </c>
      <c r="X37" s="15" t="str" cm="1">
        <f t="array" ref="X37">IFERROR(
_xlfn.XLOOKUP(
1,
(TRIM(CLEAN(SUBSTITUTE([2]Main!$F$2:$F$5000,CHAR(160)," ")))=
TRIM(CLEAN(SUBSTITUTE($B37,CHAR(160)," "))))
*
(--TEXT([2]Main!$N$2:$N$5000,"dd/mm/yyyy")=
--TEXT($C37,"dd/mm/yyyy")),
[2]Main!$AA$2:$AA$5000,
""
),
"")</f>
        <v/>
      </c>
      <c r="Y37" s="3"/>
      <c r="Z37" s="3"/>
      <c r="AA37" s="3"/>
      <c r="AB37" s="3"/>
    </row>
    <row r="38" spans="1:28" ht="38.25" customHeight="1" x14ac:dyDescent="0.25">
      <c r="A38" s="1">
        <v>37</v>
      </c>
      <c r="B38" s="2" t="s">
        <v>225</v>
      </c>
      <c r="C38" s="2" t="s">
        <v>226</v>
      </c>
      <c r="D38" s="2" t="s">
        <v>227</v>
      </c>
      <c r="E38" s="2" t="s">
        <v>228</v>
      </c>
      <c r="F38" s="2" t="s">
        <v>214</v>
      </c>
      <c r="G38" s="2" t="s">
        <v>215</v>
      </c>
      <c r="H38" s="1" t="s">
        <v>229</v>
      </c>
      <c r="I38" s="1" t="s">
        <v>14</v>
      </c>
      <c r="J38" s="2" t="s">
        <v>15</v>
      </c>
      <c r="K38" s="13" t="str" cm="1">
        <f t="array" ref="K38">IFERROR(
_xlfn.XLOOKUP(
1,
(TRIM(CLEAN(SUBSTITUTE([1]Main!$F$2:$F$5000,CHAR(160)," ")))=
TRIM(CLEAN(SUBSTITUTE($B38,CHAR(160)," "))))
*
(--TEXT([1]Main!$N$2:$N$5000,"dd/mm/yyyy")=
--TEXT($C38,"dd/mm/yyyy")),
[1]Main!$C$2:$C$5000
),
_xlfn.XLOOKUP(
1,
(TRIM(CLEAN(SUBSTITUTE([2]Main!$F$2:$F$5000,CHAR(160)," ")))=
TRIM(CLEAN(SUBSTITUTE($B38,CHAR(160)," "))))
*
(--TEXT([2]Main!$N$2:$N$5000,"dd/mm/yyyy")=
--TEXT($C38,"dd/mm/yyyy")),
[2]Main!$C$2:$C$5000,
"Không tìm thấy"
)
)</f>
        <v>036091023294</v>
      </c>
      <c r="L38" s="13" t="str" cm="1">
        <f t="array" ref="L38">IFERROR(
_xlfn.XLOOKUP(
1,
(TRIM(CLEAN(SUBSTITUTE([1]Main!$F$2:$F$5000,CHAR(160)," ")))=
TRIM(CLEAN(SUBSTITUTE($B38,CHAR(160)," "))))
*
(--TEXT([1]Main!$N$2:$N$5000,"dd/mm/yyyy")=
--TEXT($C38,"dd/mm/yyyy")),
[1]Main!$Q$2:$Q$5000
),
_xlfn.XLOOKUP(
1,
(TRIM(CLEAN(SUBSTITUTE([2]Main!$F$2:$F$5000,CHAR(160)," ")))=
TRIM(CLEAN(SUBSTITUTE($B38,CHAR(160)," "))))
*
(--TEXT([2]Main!$N$2:$N$5000,"dd/mm/yyyy")=
--TEXT($C38,"dd/mm/yyyy")),
[2]Main!$Q$2:$Q$5000,
"Không tìm thấy"
)
)</f>
        <v>Nam</v>
      </c>
      <c r="M38" s="13" t="str" cm="1">
        <f t="array" ref="M38">IFERROR(
_xlfn.XLOOKUP(
1,
(TRIM(CLEAN(SUBSTITUTE([1]Main!$F$2:$F$5000,CHAR(160)," ")))=
TRIM(CLEAN(SUBSTITUTE($B38,CHAR(160)," "))))
*
(--TEXT([1]Main!$N$2:$N$5000,"dd/mm/yyyy")=
--TEXT($C38,"dd/mm/yyyy")),
[1]Main!$S$2:$S$5000
),
_xlfn.XLOOKUP(
1,
(TRIM(CLEAN(SUBSTITUTE([2]Main!$F$2:$F$5000,CHAR(160)," ")))=
TRIM(CLEAN(SUBSTITUTE($B38,CHAR(160)," "))))
*
(--TEXT([2]Main!$N$2:$N$5000,"dd/mm/yyyy")=
--TEXT($C38,"dd/mm/yyyy")),
[2]Main!$S$2:$S$5000,
"Không tìm thấy"
)
)</f>
        <v>VN</v>
      </c>
      <c r="N38" s="13" t="str" cm="1">
        <f t="array" ref="N38">IFERROR(
_xlfn.XLOOKUP(
1,
(TRIM(CLEAN(SUBSTITUTE([1]Main!$F$2:$F$5000,CHAR(160)," ")))=
TRIM(CLEAN(SUBSTITUTE($B38,CHAR(160)," "))))
*
(--TEXT([1]Main!$N$2:$N$5000,"dd/mm/yyyy")=
--TEXT($C38,"dd/mm/yyyy")),
[1]Main!$AL$2:$AL$5000
),
_xlfn.XLOOKUP(
1,
(TRIM(CLEAN(SUBSTITUTE([2]Main!$F$2:$F$5000,CHAR(160)," ")))=
TRIM(CLEAN(SUBSTITUTE($B38,CHAR(160)," "))))
*
(--TEXT([2]Main!$N$2:$N$5000,"dd/mm/yyyy")=
--TEXT($C38,"dd/mm/yyyy")),
[2]Main!$AL$2:$AL$5000,
"Không tìm thấy"
)
)</f>
        <v>Thành phố Hà Nội</v>
      </c>
      <c r="O38" s="10"/>
      <c r="P38" s="10"/>
      <c r="Q38" s="10"/>
      <c r="R38" s="10"/>
      <c r="S38" s="10"/>
      <c r="T38" s="3" t="s">
        <v>653</v>
      </c>
      <c r="U38" s="3"/>
      <c r="V38" s="3"/>
      <c r="W38" s="3" t="str">
        <f>IF(
    COUNTIFS(
        [1]Main!$F:$F,$B38,
        [1]Main!$N:$N,$C38
    )&gt;0,
    "Active",
    IF(
        COUNTIFS(
            [2]Main!$F:$F,$B38,
            [2]Main!$N:$N,$C38
        )&gt;0,
        "Inactive",
        "Không tìm thấy"
    )
)</f>
        <v>Active</v>
      </c>
      <c r="X38" s="15" t="str" cm="1">
        <f t="array" ref="X38">IFERROR(
_xlfn.XLOOKUP(
1,
(TRIM(CLEAN(SUBSTITUTE([2]Main!$F$2:$F$5000,CHAR(160)," ")))=
TRIM(CLEAN(SUBSTITUTE($B38,CHAR(160)," "))))
*
(--TEXT([2]Main!$N$2:$N$5000,"dd/mm/yyyy")=
--TEXT($C38,"dd/mm/yyyy")),
[2]Main!$AA$2:$AA$5000,
""
),
"")</f>
        <v/>
      </c>
      <c r="Y38" s="3"/>
      <c r="Z38" s="3"/>
      <c r="AA38" s="3"/>
      <c r="AB38" s="3"/>
    </row>
    <row r="39" spans="1:28" ht="25.5" customHeight="1" x14ac:dyDescent="0.25">
      <c r="A39" s="1">
        <v>38</v>
      </c>
      <c r="B39" s="2" t="s">
        <v>230</v>
      </c>
      <c r="C39" s="2" t="s">
        <v>231</v>
      </c>
      <c r="D39" s="2" t="s">
        <v>232</v>
      </c>
      <c r="E39" s="2" t="s">
        <v>233</v>
      </c>
      <c r="F39" s="2" t="s">
        <v>234</v>
      </c>
      <c r="G39" s="2" t="s">
        <v>235</v>
      </c>
      <c r="H39" s="1" t="s">
        <v>229</v>
      </c>
      <c r="I39" s="1" t="s">
        <v>14</v>
      </c>
      <c r="J39" s="2" t="s">
        <v>15</v>
      </c>
      <c r="K39" s="13" t="str" cm="1">
        <f t="array" ref="K39">IFERROR(
_xlfn.XLOOKUP(
1,
(TRIM(CLEAN(SUBSTITUTE([1]Main!$F$2:$F$5000,CHAR(160)," ")))=
TRIM(CLEAN(SUBSTITUTE($B39,CHAR(160)," "))))
*
(--TEXT([1]Main!$N$2:$N$5000,"dd/mm/yyyy")=
--TEXT($C39,"dd/mm/yyyy")),
[1]Main!$C$2:$C$5000
),
_xlfn.XLOOKUP(
1,
(TRIM(CLEAN(SUBSTITUTE([2]Main!$F$2:$F$5000,CHAR(160)," ")))=
TRIM(CLEAN(SUBSTITUTE($B39,CHAR(160)," "))))
*
(--TEXT([2]Main!$N$2:$N$5000,"dd/mm/yyyy")=
--TEXT($C39,"dd/mm/yyyy")),
[2]Main!$C$2:$C$5000,
"Không tìm thấy"
)
)</f>
        <v>Không tìm thấy</v>
      </c>
      <c r="L39" s="13" t="str" cm="1">
        <f t="array" ref="L39">IFERROR(
_xlfn.XLOOKUP(
1,
(TRIM(CLEAN(SUBSTITUTE([1]Main!$F$2:$F$5000,CHAR(160)," ")))=
TRIM(CLEAN(SUBSTITUTE($B39,CHAR(160)," "))))
*
(--TEXT([1]Main!$N$2:$N$5000,"dd/mm/yyyy")=
--TEXT($C39,"dd/mm/yyyy")),
[1]Main!$Q$2:$Q$5000
),
_xlfn.XLOOKUP(
1,
(TRIM(CLEAN(SUBSTITUTE([2]Main!$F$2:$F$5000,CHAR(160)," ")))=
TRIM(CLEAN(SUBSTITUTE($B39,CHAR(160)," "))))
*
(--TEXT([2]Main!$N$2:$N$5000,"dd/mm/yyyy")=
--TEXT($C39,"dd/mm/yyyy")),
[2]Main!$Q$2:$Q$5000,
"Không tìm thấy"
)
)</f>
        <v>Không tìm thấy</v>
      </c>
      <c r="M39" s="13" t="str" cm="1">
        <f t="array" ref="M39">IFERROR(
_xlfn.XLOOKUP(
1,
(TRIM(CLEAN(SUBSTITUTE([1]Main!$F$2:$F$5000,CHAR(160)," ")))=
TRIM(CLEAN(SUBSTITUTE($B39,CHAR(160)," "))))
*
(--TEXT([1]Main!$N$2:$N$5000,"dd/mm/yyyy")=
--TEXT($C39,"dd/mm/yyyy")),
[1]Main!$S$2:$S$5000
),
_xlfn.XLOOKUP(
1,
(TRIM(CLEAN(SUBSTITUTE([2]Main!$F$2:$F$5000,CHAR(160)," ")))=
TRIM(CLEAN(SUBSTITUTE($B39,CHAR(160)," "))))
*
(--TEXT([2]Main!$N$2:$N$5000,"dd/mm/yyyy")=
--TEXT($C39,"dd/mm/yyyy")),
[2]Main!$S$2:$S$5000,
"Không tìm thấy"
)
)</f>
        <v>Không tìm thấy</v>
      </c>
      <c r="N39" s="13" t="str" cm="1">
        <f t="array" ref="N39">IFERROR(
_xlfn.XLOOKUP(
1,
(TRIM(CLEAN(SUBSTITUTE([1]Main!$F$2:$F$5000,CHAR(160)," ")))=
TRIM(CLEAN(SUBSTITUTE($B39,CHAR(160)," "))))
*
(--TEXT([1]Main!$N$2:$N$5000,"dd/mm/yyyy")=
--TEXT($C39,"dd/mm/yyyy")),
[1]Main!$AL$2:$AL$5000
),
_xlfn.XLOOKUP(
1,
(TRIM(CLEAN(SUBSTITUTE([2]Main!$F$2:$F$5000,CHAR(160)," ")))=
TRIM(CLEAN(SUBSTITUTE($B39,CHAR(160)," "))))
*
(--TEXT([2]Main!$N$2:$N$5000,"dd/mm/yyyy")=
--TEXT($C39,"dd/mm/yyyy")),
[2]Main!$AL$2:$AL$5000,
"Không tìm thấy"
)
)</f>
        <v>Không tìm thấy</v>
      </c>
      <c r="O39" s="10"/>
      <c r="P39" s="10"/>
      <c r="Q39" s="10"/>
      <c r="R39" s="10"/>
      <c r="S39" s="10"/>
      <c r="T39" s="3" t="s">
        <v>653</v>
      </c>
      <c r="U39" s="3"/>
      <c r="V39" s="3"/>
      <c r="W39" s="3" t="str">
        <f>IF(
    COUNTIFS(
        [1]Main!$F:$F,$B39,
        [1]Main!$N:$N,$C39
    )&gt;0,
    "Active",
    IF(
        COUNTIFS(
            [2]Main!$F:$F,$B39,
            [2]Main!$N:$N,$C39
        )&gt;0,
        "Inactive",
        "Không tìm thấy"
    )
)</f>
        <v>Không tìm thấy</v>
      </c>
      <c r="X39" s="15" t="str" cm="1">
        <f t="array" ref="X39">IFERROR(
_xlfn.XLOOKUP(
1,
(TRIM(CLEAN(SUBSTITUTE([2]Main!$F$2:$F$5000,CHAR(160)," ")))=
TRIM(CLEAN(SUBSTITUTE($B39,CHAR(160)," "))))
*
(--TEXT([2]Main!$N$2:$N$5000,"dd/mm/yyyy")=
--TEXT($C39,"dd/mm/yyyy")),
[2]Main!$AA$2:$AA$5000,
""
),
"")</f>
        <v/>
      </c>
      <c r="Y39" s="3"/>
      <c r="Z39" s="3"/>
      <c r="AA39" s="3"/>
      <c r="AB39" s="3"/>
    </row>
    <row r="40" spans="1:28" ht="38.25" customHeight="1" x14ac:dyDescent="0.25">
      <c r="A40" s="1">
        <v>39</v>
      </c>
      <c r="B40" s="2" t="s">
        <v>236</v>
      </c>
      <c r="C40" s="2" t="s">
        <v>237</v>
      </c>
      <c r="D40" s="2" t="s">
        <v>238</v>
      </c>
      <c r="E40" s="2" t="s">
        <v>239</v>
      </c>
      <c r="F40" s="2" t="s">
        <v>67</v>
      </c>
      <c r="G40" s="2" t="s">
        <v>240</v>
      </c>
      <c r="H40" s="1" t="s">
        <v>241</v>
      </c>
      <c r="I40" s="1" t="s">
        <v>14</v>
      </c>
      <c r="J40" s="2" t="s">
        <v>15</v>
      </c>
      <c r="K40" s="13" t="str" cm="1">
        <f t="array" ref="K40">IFERROR(
_xlfn.XLOOKUP(
1,
(TRIM(CLEAN(SUBSTITUTE([1]Main!$F$2:$F$5000,CHAR(160)," ")))=
TRIM(CLEAN(SUBSTITUTE($B40,CHAR(160)," "))))
*
(--TEXT([1]Main!$N$2:$N$5000,"dd/mm/yyyy")=
--TEXT($C40,"dd/mm/yyyy")),
[1]Main!$C$2:$C$5000
),
_xlfn.XLOOKUP(
1,
(TRIM(CLEAN(SUBSTITUTE([2]Main!$F$2:$F$5000,CHAR(160)," ")))=
TRIM(CLEAN(SUBSTITUTE($B40,CHAR(160)," "))))
*
(--TEXT([2]Main!$N$2:$N$5000,"dd/mm/yyyy")=
--TEXT($C40,"dd/mm/yyyy")),
[2]Main!$C$2:$C$5000,
"Không tìm thấy"
)
)</f>
        <v>035203003700</v>
      </c>
      <c r="L40" s="13" t="str" cm="1">
        <f t="array" ref="L40">IFERROR(
_xlfn.XLOOKUP(
1,
(TRIM(CLEAN(SUBSTITUTE([1]Main!$F$2:$F$5000,CHAR(160)," ")))=
TRIM(CLEAN(SUBSTITUTE($B40,CHAR(160)," "))))
*
(--TEXT([1]Main!$N$2:$N$5000,"dd/mm/yyyy")=
--TEXT($C40,"dd/mm/yyyy")),
[1]Main!$Q$2:$Q$5000
),
_xlfn.XLOOKUP(
1,
(TRIM(CLEAN(SUBSTITUTE([2]Main!$F$2:$F$5000,CHAR(160)," ")))=
TRIM(CLEAN(SUBSTITUTE($B40,CHAR(160)," "))))
*
(--TEXT([2]Main!$N$2:$N$5000,"dd/mm/yyyy")=
--TEXT($C40,"dd/mm/yyyy")),
[2]Main!$Q$2:$Q$5000,
"Không tìm thấy"
)
)</f>
        <v>Nam</v>
      </c>
      <c r="M40" s="13" t="str" cm="1">
        <f t="array" ref="M40">IFERROR(
_xlfn.XLOOKUP(
1,
(TRIM(CLEAN(SUBSTITUTE([1]Main!$F$2:$F$5000,CHAR(160)," ")))=
TRIM(CLEAN(SUBSTITUTE($B40,CHAR(160)," "))))
*
(--TEXT([1]Main!$N$2:$N$5000,"dd/mm/yyyy")=
--TEXT($C40,"dd/mm/yyyy")),
[1]Main!$S$2:$S$5000
),
_xlfn.XLOOKUP(
1,
(TRIM(CLEAN(SUBSTITUTE([2]Main!$F$2:$F$5000,CHAR(160)," ")))=
TRIM(CLEAN(SUBSTITUTE($B40,CHAR(160)," "))))
*
(--TEXT([2]Main!$N$2:$N$5000,"dd/mm/yyyy")=
--TEXT($C40,"dd/mm/yyyy")),
[2]Main!$S$2:$S$5000,
"Không tìm thấy"
)
)</f>
        <v>VN</v>
      </c>
      <c r="N40" s="13" t="str" cm="1">
        <f t="array" ref="N40">IFERROR(
_xlfn.XLOOKUP(
1,
(TRIM(CLEAN(SUBSTITUTE([1]Main!$F$2:$F$5000,CHAR(160)," ")))=
TRIM(CLEAN(SUBSTITUTE($B40,CHAR(160)," "))))
*
(--TEXT([1]Main!$N$2:$N$5000,"dd/mm/yyyy")=
--TEXT($C40,"dd/mm/yyyy")),
[1]Main!$AL$2:$AL$5000
),
_xlfn.XLOOKUP(
1,
(TRIM(CLEAN(SUBSTITUTE([2]Main!$F$2:$F$5000,CHAR(160)," ")))=
TRIM(CLEAN(SUBSTITUTE($B40,CHAR(160)," "))))
*
(--TEXT([2]Main!$N$2:$N$5000,"dd/mm/yyyy")=
--TEXT($C40,"dd/mm/yyyy")),
[2]Main!$AL$2:$AL$5000,
"Không tìm thấy"
)
)</f>
        <v>Thành phố Hà Nội</v>
      </c>
      <c r="O40" s="10"/>
      <c r="P40" s="10"/>
      <c r="Q40" s="10"/>
      <c r="R40" s="10"/>
      <c r="S40" s="10"/>
      <c r="T40" s="3" t="s">
        <v>653</v>
      </c>
      <c r="U40" s="3"/>
      <c r="V40" s="3"/>
      <c r="W40" s="3" t="str">
        <f>IF(
    COUNTIFS(
        [1]Main!$F:$F,$B40,
        [1]Main!$N:$N,$C40
    )&gt;0,
    "Active",
    IF(
        COUNTIFS(
            [2]Main!$F:$F,$B40,
            [2]Main!$N:$N,$C40
        )&gt;0,
        "Inactive",
        "Không tìm thấy"
    )
)</f>
        <v>Active</v>
      </c>
      <c r="X40" s="15" t="str" cm="1">
        <f t="array" ref="X40">IFERROR(
_xlfn.XLOOKUP(
1,
(TRIM(CLEAN(SUBSTITUTE([2]Main!$F$2:$F$5000,CHAR(160)," ")))=
TRIM(CLEAN(SUBSTITUTE($B40,CHAR(160)," "))))
*
(--TEXT([2]Main!$N$2:$N$5000,"dd/mm/yyyy")=
--TEXT($C40,"dd/mm/yyyy")),
[2]Main!$AA$2:$AA$5000,
""
),
"")</f>
        <v/>
      </c>
      <c r="Y40" s="3"/>
      <c r="Z40" s="3"/>
      <c r="AA40" s="3"/>
      <c r="AB40" s="3"/>
    </row>
    <row r="41" spans="1:28" ht="25.5" customHeight="1" x14ac:dyDescent="0.25">
      <c r="A41" s="1">
        <v>40</v>
      </c>
      <c r="B41" s="2" t="s">
        <v>242</v>
      </c>
      <c r="C41" s="2" t="s">
        <v>243</v>
      </c>
      <c r="D41" s="2" t="s">
        <v>244</v>
      </c>
      <c r="E41" s="2" t="s">
        <v>245</v>
      </c>
      <c r="F41" s="2" t="s">
        <v>246</v>
      </c>
      <c r="G41" s="2" t="s">
        <v>247</v>
      </c>
      <c r="H41" s="1" t="s">
        <v>241</v>
      </c>
      <c r="I41" s="1" t="s">
        <v>38</v>
      </c>
      <c r="J41" s="2" t="s">
        <v>126</v>
      </c>
      <c r="K41" s="13" t="str" cm="1">
        <f t="array" ref="K41">IFERROR(
_xlfn.XLOOKUP(
1,
(TRIM(CLEAN(SUBSTITUTE([1]Main!$F$2:$F$5000,CHAR(160)," ")))=
TRIM(CLEAN(SUBSTITUTE($B41,CHAR(160)," "))))
*
(--TEXT([1]Main!$N$2:$N$5000,"dd/mm/yyyy")=
--TEXT($C41,"dd/mm/yyyy")),
[1]Main!$C$2:$C$5000
),
_xlfn.XLOOKUP(
1,
(TRIM(CLEAN(SUBSTITUTE([2]Main!$F$2:$F$5000,CHAR(160)," ")))=
TRIM(CLEAN(SUBSTITUTE($B41,CHAR(160)," "))))
*
(--TEXT([2]Main!$N$2:$N$5000,"dd/mm/yyyy")=
--TEXT($C41,"dd/mm/yyyy")),
[2]Main!$C$2:$C$5000,
"Không tìm thấy"
)
)</f>
        <v>8789298584</v>
      </c>
      <c r="L41" s="13" t="str" cm="1">
        <f t="array" ref="L41">IFERROR(
_xlfn.XLOOKUP(
1,
(TRIM(CLEAN(SUBSTITUTE([1]Main!$F$2:$F$5000,CHAR(160)," ")))=
TRIM(CLEAN(SUBSTITUTE($B41,CHAR(160)," "))))
*
(--TEXT([1]Main!$N$2:$N$5000,"dd/mm/yyyy")=
--TEXT($C41,"dd/mm/yyyy")),
[1]Main!$Q$2:$Q$5000
),
_xlfn.XLOOKUP(
1,
(TRIM(CLEAN(SUBSTITUTE([2]Main!$F$2:$F$5000,CHAR(160)," ")))=
TRIM(CLEAN(SUBSTITUTE($B41,CHAR(160)," "))))
*
(--TEXT([2]Main!$N$2:$N$5000,"dd/mm/yyyy")=
--TEXT($C41,"dd/mm/yyyy")),
[2]Main!$Q$2:$Q$5000,
"Không tìm thấy"
)
)</f>
        <v>Nữ</v>
      </c>
      <c r="M41" s="13" t="str" cm="1">
        <f t="array" ref="M41">IFERROR(
_xlfn.XLOOKUP(
1,
(TRIM(CLEAN(SUBSTITUTE([1]Main!$F$2:$F$5000,CHAR(160)," ")))=
TRIM(CLEAN(SUBSTITUTE($B41,CHAR(160)," "))))
*
(--TEXT([1]Main!$N$2:$N$5000,"dd/mm/yyyy")=
--TEXT($C41,"dd/mm/yyyy")),
[1]Main!$S$2:$S$5000
),
_xlfn.XLOOKUP(
1,
(TRIM(CLEAN(SUBSTITUTE([2]Main!$F$2:$F$5000,CHAR(160)," ")))=
TRIM(CLEAN(SUBSTITUTE($B41,CHAR(160)," "))))
*
(--TEXT([2]Main!$N$2:$N$5000,"dd/mm/yyyy")=
--TEXT($C41,"dd/mm/yyyy")),
[2]Main!$S$2:$S$5000,
"Không tìm thấy"
)
)</f>
        <v>VN</v>
      </c>
      <c r="N41" s="13" t="str" cm="1">
        <f t="array" ref="N41">IFERROR(
_xlfn.XLOOKUP(
1,
(TRIM(CLEAN(SUBSTITUTE([1]Main!$F$2:$F$5000,CHAR(160)," ")))=
TRIM(CLEAN(SUBSTITUTE($B41,CHAR(160)," "))))
*
(--TEXT([1]Main!$N$2:$N$5000,"dd/mm/yyyy")=
--TEXT($C41,"dd/mm/yyyy")),
[1]Main!$AL$2:$AL$5000
),
_xlfn.XLOOKUP(
1,
(TRIM(CLEAN(SUBSTITUTE([2]Main!$F$2:$F$5000,CHAR(160)," ")))=
TRIM(CLEAN(SUBSTITUTE($B41,CHAR(160)," "))))
*
(--TEXT([2]Main!$N$2:$N$5000,"dd/mm/yyyy")=
--TEXT($C41,"dd/mm/yyyy")),
[2]Main!$AL$2:$AL$5000,
"Không tìm thấy"
)
)</f>
        <v>Thành phố Hà Nội</v>
      </c>
      <c r="O41" s="10"/>
      <c r="P41" s="10"/>
      <c r="Q41" s="10"/>
      <c r="R41" s="10"/>
      <c r="S41" s="10"/>
      <c r="T41" s="3" t="s">
        <v>653</v>
      </c>
      <c r="U41" s="3"/>
      <c r="V41" s="3"/>
      <c r="W41" s="3" t="str">
        <f>IF(
    COUNTIFS(
        [1]Main!$F:$F,$B41,
        [1]Main!$N:$N,$C41
    )&gt;0,
    "Active",
    IF(
        COUNTIFS(
            [2]Main!$F:$F,$B41,
            [2]Main!$N:$N,$C41
        )&gt;0,
        "Inactive",
        "Không tìm thấy"
    )
)</f>
        <v>Inactive</v>
      </c>
      <c r="X41" s="15" cm="1">
        <f t="array" ref="X41">IFERROR(
_xlfn.XLOOKUP(
1,
(TRIM(CLEAN(SUBSTITUTE([2]Main!$F$2:$F$5000,CHAR(160)," ")))=
TRIM(CLEAN(SUBSTITUTE($B41,CHAR(160)," "))))
*
(--TEXT([2]Main!$N$2:$N$5000,"dd/mm/yyyy")=
--TEXT($C41,"dd/mm/yyyy")),
[2]Main!$AA$2:$AA$5000,
""
),
"")</f>
        <v>46092</v>
      </c>
      <c r="Y41" s="3"/>
      <c r="Z41" s="3"/>
      <c r="AA41" s="3"/>
      <c r="AB41" s="3"/>
    </row>
    <row r="42" spans="1:28" ht="25.5" customHeight="1" x14ac:dyDescent="0.25">
      <c r="A42" s="1">
        <v>41</v>
      </c>
      <c r="B42" s="2" t="s">
        <v>248</v>
      </c>
      <c r="C42" s="2" t="s">
        <v>249</v>
      </c>
      <c r="D42" s="2" t="s">
        <v>250</v>
      </c>
      <c r="E42" s="2" t="s">
        <v>251</v>
      </c>
      <c r="F42" s="2" t="s">
        <v>252</v>
      </c>
      <c r="G42" s="2" t="s">
        <v>253</v>
      </c>
      <c r="H42" s="1" t="s">
        <v>241</v>
      </c>
      <c r="I42" s="1" t="s">
        <v>14</v>
      </c>
      <c r="J42" s="2" t="s">
        <v>30</v>
      </c>
      <c r="K42" s="13" t="str" cm="1">
        <f t="array" ref="K42">IFERROR(
_xlfn.XLOOKUP(
1,
(TRIM(CLEAN(SUBSTITUTE([1]Main!$F$2:$F$5000,CHAR(160)," ")))=
TRIM(CLEAN(SUBSTITUTE($B42,CHAR(160)," "))))
*
(--TEXT([1]Main!$N$2:$N$5000,"dd/mm/yyyy")=
--TEXT($C42,"dd/mm/yyyy")),
[1]Main!$C$2:$C$5000
),
_xlfn.XLOOKUP(
1,
(TRIM(CLEAN(SUBSTITUTE([2]Main!$F$2:$F$5000,CHAR(160)," ")))=
TRIM(CLEAN(SUBSTITUTE($B42,CHAR(160)," "))))
*
(--TEXT([2]Main!$N$2:$N$5000,"dd/mm/yyyy")=
--TEXT($C42,"dd/mm/yyyy")),
[2]Main!$C$2:$C$5000,
"Không tìm thấy"
)
)</f>
        <v>8934494499</v>
      </c>
      <c r="L42" s="13" t="str" cm="1">
        <f t="array" ref="L42">IFERROR(
_xlfn.XLOOKUP(
1,
(TRIM(CLEAN(SUBSTITUTE([1]Main!$F$2:$F$5000,CHAR(160)," ")))=
TRIM(CLEAN(SUBSTITUTE($B42,CHAR(160)," "))))
*
(--TEXT([1]Main!$N$2:$N$5000,"dd/mm/yyyy")=
--TEXT($C42,"dd/mm/yyyy")),
[1]Main!$Q$2:$Q$5000
),
_xlfn.XLOOKUP(
1,
(TRIM(CLEAN(SUBSTITUTE([2]Main!$F$2:$F$5000,CHAR(160)," ")))=
TRIM(CLEAN(SUBSTITUTE($B42,CHAR(160)," "))))
*
(--TEXT([2]Main!$N$2:$N$5000,"dd/mm/yyyy")=
--TEXT($C42,"dd/mm/yyyy")),
[2]Main!$Q$2:$Q$5000,
"Không tìm thấy"
)
)</f>
        <v>Nữ</v>
      </c>
      <c r="M42" s="13" t="str" cm="1">
        <f t="array" ref="M42">IFERROR(
_xlfn.XLOOKUP(
1,
(TRIM(CLEAN(SUBSTITUTE([1]Main!$F$2:$F$5000,CHAR(160)," ")))=
TRIM(CLEAN(SUBSTITUTE($B42,CHAR(160)," "))))
*
(--TEXT([1]Main!$N$2:$N$5000,"dd/mm/yyyy")=
--TEXT($C42,"dd/mm/yyyy")),
[1]Main!$S$2:$S$5000
),
_xlfn.XLOOKUP(
1,
(TRIM(CLEAN(SUBSTITUTE([2]Main!$F$2:$F$5000,CHAR(160)," ")))=
TRIM(CLEAN(SUBSTITUTE($B42,CHAR(160)," "))))
*
(--TEXT([2]Main!$N$2:$N$5000,"dd/mm/yyyy")=
--TEXT($C42,"dd/mm/yyyy")),
[2]Main!$S$2:$S$5000,
"Không tìm thấy"
)
)</f>
        <v>VN</v>
      </c>
      <c r="N42" s="13" t="str" cm="1">
        <f t="array" ref="N42">IFERROR(
_xlfn.XLOOKUP(
1,
(TRIM(CLEAN(SUBSTITUTE([1]Main!$F$2:$F$5000,CHAR(160)," ")))=
TRIM(CLEAN(SUBSTITUTE($B42,CHAR(160)," "))))
*
(--TEXT([1]Main!$N$2:$N$5000,"dd/mm/yyyy")=
--TEXT($C42,"dd/mm/yyyy")),
[1]Main!$AL$2:$AL$5000
),
_xlfn.XLOOKUP(
1,
(TRIM(CLEAN(SUBSTITUTE([2]Main!$F$2:$F$5000,CHAR(160)," ")))=
TRIM(CLEAN(SUBSTITUTE($B42,CHAR(160)," "))))
*
(--TEXT([2]Main!$N$2:$N$5000,"dd/mm/yyyy")=
--TEXT($C42,"dd/mm/yyyy")),
[2]Main!$AL$2:$AL$5000,
"Không tìm thấy"
)
)</f>
        <v>Thành phố Hà Nội</v>
      </c>
      <c r="O42" s="10"/>
      <c r="P42" s="10"/>
      <c r="Q42" s="10"/>
      <c r="R42" s="10"/>
      <c r="S42" s="10"/>
      <c r="T42" s="3" t="s">
        <v>653</v>
      </c>
      <c r="U42" s="3"/>
      <c r="V42" s="3"/>
      <c r="W42" s="3" t="str">
        <f>IF(
    COUNTIFS(
        [1]Main!$F:$F,$B42,
        [1]Main!$N:$N,$C42
    )&gt;0,
    "Active",
    IF(
        COUNTIFS(
            [2]Main!$F:$F,$B42,
            [2]Main!$N:$N,$C42
        )&gt;0,
        "Inactive",
        "Không tìm thấy"
    )
)</f>
        <v>Active</v>
      </c>
      <c r="X42" s="15" t="str" cm="1">
        <f t="array" ref="X42">IFERROR(
_xlfn.XLOOKUP(
1,
(TRIM(CLEAN(SUBSTITUTE([2]Main!$F$2:$F$5000,CHAR(160)," ")))=
TRIM(CLEAN(SUBSTITUTE($B42,CHAR(160)," "))))
*
(--TEXT([2]Main!$N$2:$N$5000,"dd/mm/yyyy")=
--TEXT($C42,"dd/mm/yyyy")),
[2]Main!$AA$2:$AA$5000,
""
),
"")</f>
        <v/>
      </c>
      <c r="Y42" s="3"/>
      <c r="Z42" s="3"/>
      <c r="AA42" s="3"/>
      <c r="AB42" s="3"/>
    </row>
    <row r="43" spans="1:28" ht="38.25" customHeight="1" x14ac:dyDescent="0.25">
      <c r="A43" s="1">
        <v>42</v>
      </c>
      <c r="B43" s="2" t="s">
        <v>254</v>
      </c>
      <c r="C43" s="2" t="s">
        <v>255</v>
      </c>
      <c r="D43" s="2" t="s">
        <v>256</v>
      </c>
      <c r="E43" s="2" t="s">
        <v>257</v>
      </c>
      <c r="F43" s="2" t="s">
        <v>252</v>
      </c>
      <c r="G43" s="2" t="s">
        <v>258</v>
      </c>
      <c r="H43" s="1" t="s">
        <v>241</v>
      </c>
      <c r="I43" s="1" t="s">
        <v>14</v>
      </c>
      <c r="J43" s="2" t="s">
        <v>15</v>
      </c>
      <c r="K43" s="13" t="str" cm="1">
        <f t="array" ref="K43">IFERROR(
_xlfn.XLOOKUP(
1,
(TRIM(CLEAN(SUBSTITUTE([1]Main!$F$2:$F$5000,CHAR(160)," ")))=
TRIM(CLEAN(SUBSTITUTE($B43,CHAR(160)," "))))
*
(--TEXT([1]Main!$N$2:$N$5000,"dd/mm/yyyy")=
--TEXT($C43,"dd/mm/yyyy")),
[1]Main!$C$2:$C$5000
),
_xlfn.XLOOKUP(
1,
(TRIM(CLEAN(SUBSTITUTE([2]Main!$F$2:$F$5000,CHAR(160)," ")))=
TRIM(CLEAN(SUBSTITUTE($B43,CHAR(160)," "))))
*
(--TEXT([2]Main!$N$2:$N$5000,"dd/mm/yyyy")=
--TEXT($C43,"dd/mm/yyyy")),
[2]Main!$C$2:$C$5000,
"Không tìm thấy"
)
)</f>
        <v>030301010113</v>
      </c>
      <c r="L43" s="13" t="str" cm="1">
        <f t="array" ref="L43">IFERROR(
_xlfn.XLOOKUP(
1,
(TRIM(CLEAN(SUBSTITUTE([1]Main!$F$2:$F$5000,CHAR(160)," ")))=
TRIM(CLEAN(SUBSTITUTE($B43,CHAR(160)," "))))
*
(--TEXT([1]Main!$N$2:$N$5000,"dd/mm/yyyy")=
--TEXT($C43,"dd/mm/yyyy")),
[1]Main!$Q$2:$Q$5000
),
_xlfn.XLOOKUP(
1,
(TRIM(CLEAN(SUBSTITUTE([2]Main!$F$2:$F$5000,CHAR(160)," ")))=
TRIM(CLEAN(SUBSTITUTE($B43,CHAR(160)," "))))
*
(--TEXT([2]Main!$N$2:$N$5000,"dd/mm/yyyy")=
--TEXT($C43,"dd/mm/yyyy")),
[2]Main!$Q$2:$Q$5000,
"Không tìm thấy"
)
)</f>
        <v>Nữ</v>
      </c>
      <c r="M43" s="13" t="str" cm="1">
        <f t="array" ref="M43">IFERROR(
_xlfn.XLOOKUP(
1,
(TRIM(CLEAN(SUBSTITUTE([1]Main!$F$2:$F$5000,CHAR(160)," ")))=
TRIM(CLEAN(SUBSTITUTE($B43,CHAR(160)," "))))
*
(--TEXT([1]Main!$N$2:$N$5000,"dd/mm/yyyy")=
--TEXT($C43,"dd/mm/yyyy")),
[1]Main!$S$2:$S$5000
),
_xlfn.XLOOKUP(
1,
(TRIM(CLEAN(SUBSTITUTE([2]Main!$F$2:$F$5000,CHAR(160)," ")))=
TRIM(CLEAN(SUBSTITUTE($B43,CHAR(160)," "))))
*
(--TEXT([2]Main!$N$2:$N$5000,"dd/mm/yyyy")=
--TEXT($C43,"dd/mm/yyyy")),
[2]Main!$S$2:$S$5000,
"Không tìm thấy"
)
)</f>
        <v>VN</v>
      </c>
      <c r="N43" s="13" t="str" cm="1">
        <f t="array" ref="N43">IFERROR(
_xlfn.XLOOKUP(
1,
(TRIM(CLEAN(SUBSTITUTE([1]Main!$F$2:$F$5000,CHAR(160)," ")))=
TRIM(CLEAN(SUBSTITUTE($B43,CHAR(160)," "))))
*
(--TEXT([1]Main!$N$2:$N$5000,"dd/mm/yyyy")=
--TEXT($C43,"dd/mm/yyyy")),
[1]Main!$AL$2:$AL$5000
),
_xlfn.XLOOKUP(
1,
(TRIM(CLEAN(SUBSTITUTE([2]Main!$F$2:$F$5000,CHAR(160)," ")))=
TRIM(CLEAN(SUBSTITUTE($B43,CHAR(160)," "))))
*
(--TEXT([2]Main!$N$2:$N$5000,"dd/mm/yyyy")=
--TEXT($C43,"dd/mm/yyyy")),
[2]Main!$AL$2:$AL$5000,
"Không tìm thấy"
)
)</f>
        <v>Thành phố Hà Nội</v>
      </c>
      <c r="O43" s="10"/>
      <c r="P43" s="10"/>
      <c r="Q43" s="10"/>
      <c r="R43" s="10"/>
      <c r="S43" s="10"/>
      <c r="T43" s="3" t="s">
        <v>653</v>
      </c>
      <c r="U43" s="3"/>
      <c r="V43" s="3"/>
      <c r="W43" s="3" t="str">
        <f>IF(
    COUNTIFS(
        [1]Main!$F:$F,$B43,
        [1]Main!$N:$N,$C43
    )&gt;0,
    "Active",
    IF(
        COUNTIFS(
            [2]Main!$F:$F,$B43,
            [2]Main!$N:$N,$C43
        )&gt;0,
        "Inactive",
        "Không tìm thấy"
    )
)</f>
        <v>Inactive</v>
      </c>
      <c r="X43" s="15" cm="1">
        <f t="array" ref="X43">IFERROR(
_xlfn.XLOOKUP(
1,
(TRIM(CLEAN(SUBSTITUTE([2]Main!$F$2:$F$5000,CHAR(160)," ")))=
TRIM(CLEAN(SUBSTITUTE($B43,CHAR(160)," "))))
*
(--TEXT([2]Main!$N$2:$N$5000,"dd/mm/yyyy")=
--TEXT($C43,"dd/mm/yyyy")),
[2]Main!$AA$2:$AA$5000,
""
),
"")</f>
        <v>46030</v>
      </c>
      <c r="Y43" s="3"/>
      <c r="Z43" s="3"/>
      <c r="AA43" s="3"/>
      <c r="AB43" s="3"/>
    </row>
    <row r="44" spans="1:28" ht="38.25" customHeight="1" x14ac:dyDescent="0.25">
      <c r="A44" s="1">
        <v>43</v>
      </c>
      <c r="B44" s="2" t="s">
        <v>259</v>
      </c>
      <c r="C44" s="2" t="s">
        <v>260</v>
      </c>
      <c r="D44" s="2" t="s">
        <v>261</v>
      </c>
      <c r="E44" s="2" t="s">
        <v>233</v>
      </c>
      <c r="F44" s="2" t="s">
        <v>234</v>
      </c>
      <c r="G44" s="2" t="s">
        <v>235</v>
      </c>
      <c r="H44" s="1" t="s">
        <v>241</v>
      </c>
      <c r="I44" s="1" t="s">
        <v>14</v>
      </c>
      <c r="J44" s="2" t="s">
        <v>15</v>
      </c>
      <c r="K44" s="13" t="str" cm="1">
        <f t="array" ref="K44">IFERROR(
_xlfn.XLOOKUP(
1,
(TRIM(CLEAN(SUBSTITUTE([1]Main!$F$2:$F$5000,CHAR(160)," ")))=
TRIM(CLEAN(SUBSTITUTE($B44,CHAR(160)," "))))
*
(--TEXT([1]Main!$N$2:$N$5000,"dd/mm/yyyy")=
--TEXT($C44,"dd/mm/yyyy")),
[1]Main!$C$2:$C$5000
),
_xlfn.XLOOKUP(
1,
(TRIM(CLEAN(SUBSTITUTE([2]Main!$F$2:$F$5000,CHAR(160)," ")))=
TRIM(CLEAN(SUBSTITUTE($B44,CHAR(160)," "))))
*
(--TEXT([2]Main!$N$2:$N$5000,"dd/mm/yyyy")=
--TEXT($C44,"dd/mm/yyyy")),
[2]Main!$C$2:$C$5000,
"Không tìm thấy"
)
)</f>
        <v>8576755395</v>
      </c>
      <c r="L44" s="13" t="str" cm="1">
        <f t="array" ref="L44">IFERROR(
_xlfn.XLOOKUP(
1,
(TRIM(CLEAN(SUBSTITUTE([1]Main!$F$2:$F$5000,CHAR(160)," ")))=
TRIM(CLEAN(SUBSTITUTE($B44,CHAR(160)," "))))
*
(--TEXT([1]Main!$N$2:$N$5000,"dd/mm/yyyy")=
--TEXT($C44,"dd/mm/yyyy")),
[1]Main!$Q$2:$Q$5000
),
_xlfn.XLOOKUP(
1,
(TRIM(CLEAN(SUBSTITUTE([2]Main!$F$2:$F$5000,CHAR(160)," ")))=
TRIM(CLEAN(SUBSTITUTE($B44,CHAR(160)," "))))
*
(--TEXT([2]Main!$N$2:$N$5000,"dd/mm/yyyy")=
--TEXT($C44,"dd/mm/yyyy")),
[2]Main!$Q$2:$Q$5000,
"Không tìm thấy"
)
)</f>
        <v>Nữ</v>
      </c>
      <c r="M44" s="13" t="str" cm="1">
        <f t="array" ref="M44">IFERROR(
_xlfn.XLOOKUP(
1,
(TRIM(CLEAN(SUBSTITUTE([1]Main!$F$2:$F$5000,CHAR(160)," ")))=
TRIM(CLEAN(SUBSTITUTE($B44,CHAR(160)," "))))
*
(--TEXT([1]Main!$N$2:$N$5000,"dd/mm/yyyy")=
--TEXT($C44,"dd/mm/yyyy")),
[1]Main!$S$2:$S$5000
),
_xlfn.XLOOKUP(
1,
(TRIM(CLEAN(SUBSTITUTE([2]Main!$F$2:$F$5000,CHAR(160)," ")))=
TRIM(CLEAN(SUBSTITUTE($B44,CHAR(160)," "))))
*
(--TEXT([2]Main!$N$2:$N$5000,"dd/mm/yyyy")=
--TEXT($C44,"dd/mm/yyyy")),
[2]Main!$S$2:$S$5000,
"Không tìm thấy"
)
)</f>
        <v>VN</v>
      </c>
      <c r="N44" s="13" t="str" cm="1">
        <f t="array" ref="N44">IFERROR(
_xlfn.XLOOKUP(
1,
(TRIM(CLEAN(SUBSTITUTE([1]Main!$F$2:$F$5000,CHAR(160)," ")))=
TRIM(CLEAN(SUBSTITUTE($B44,CHAR(160)," "))))
*
(--TEXT([1]Main!$N$2:$N$5000,"dd/mm/yyyy")=
--TEXT($C44,"dd/mm/yyyy")),
[1]Main!$AL$2:$AL$5000
),
_xlfn.XLOOKUP(
1,
(TRIM(CLEAN(SUBSTITUTE([2]Main!$F$2:$F$5000,CHAR(160)," ")))=
TRIM(CLEAN(SUBSTITUTE($B44,CHAR(160)," "))))
*
(--TEXT([2]Main!$N$2:$N$5000,"dd/mm/yyyy")=
--TEXT($C44,"dd/mm/yyyy")),
[2]Main!$AL$2:$AL$5000,
"Không tìm thấy"
)
)</f>
        <v>Thành phố Hà Nội</v>
      </c>
      <c r="O44" s="10"/>
      <c r="P44" s="10"/>
      <c r="Q44" s="10"/>
      <c r="R44" s="10"/>
      <c r="S44" s="10"/>
      <c r="T44" s="3" t="s">
        <v>653</v>
      </c>
      <c r="U44" s="3"/>
      <c r="V44" s="3"/>
      <c r="W44" s="3" t="str">
        <f>IF(
    COUNTIFS(
        [1]Main!$F:$F,$B44,
        [1]Main!$N:$N,$C44
    )&gt;0,
    "Active",
    IF(
        COUNTIFS(
            [2]Main!$F:$F,$B44,
            [2]Main!$N:$N,$C44
        )&gt;0,
        "Inactive",
        "Không tìm thấy"
    )
)</f>
        <v>Active</v>
      </c>
      <c r="X44" s="15" t="str" cm="1">
        <f t="array" ref="X44">IFERROR(
_xlfn.XLOOKUP(
1,
(TRIM(CLEAN(SUBSTITUTE([2]Main!$F$2:$F$5000,CHAR(160)," ")))=
TRIM(CLEAN(SUBSTITUTE($B44,CHAR(160)," "))))
*
(--TEXT([2]Main!$N$2:$N$5000,"dd/mm/yyyy")=
--TEXT($C44,"dd/mm/yyyy")),
[2]Main!$AA$2:$AA$5000,
""
),
"")</f>
        <v/>
      </c>
      <c r="Y44" s="3"/>
      <c r="Z44" s="3"/>
      <c r="AA44" s="3"/>
      <c r="AB44" s="3"/>
    </row>
    <row r="45" spans="1:28" ht="25.5" customHeight="1" x14ac:dyDescent="0.25">
      <c r="A45" s="1">
        <v>44</v>
      </c>
      <c r="B45" s="2" t="s">
        <v>262</v>
      </c>
      <c r="C45" s="2" t="s">
        <v>263</v>
      </c>
      <c r="D45" s="2" t="s">
        <v>264</v>
      </c>
      <c r="E45" s="2" t="s">
        <v>265</v>
      </c>
      <c r="F45" s="2" t="s">
        <v>47</v>
      </c>
      <c r="G45" s="2" t="s">
        <v>266</v>
      </c>
      <c r="H45" s="1" t="s">
        <v>267</v>
      </c>
      <c r="I45" s="1" t="s">
        <v>38</v>
      </c>
      <c r="J45" s="2" t="s">
        <v>126</v>
      </c>
      <c r="K45" s="13" t="str" cm="1">
        <f t="array" ref="K45">IFERROR(
_xlfn.XLOOKUP(
1,
(TRIM(CLEAN(SUBSTITUTE([1]Main!$F$2:$F$5000,CHAR(160)," ")))=
TRIM(CLEAN(SUBSTITUTE($B45,CHAR(160)," "))))
*
(--TEXT([1]Main!$N$2:$N$5000,"dd/mm/yyyy")=
--TEXT($C45,"dd/mm/yyyy")),
[1]Main!$C$2:$C$5000
),
_xlfn.XLOOKUP(
1,
(TRIM(CLEAN(SUBSTITUTE([2]Main!$F$2:$F$5000,CHAR(160)," ")))=
TRIM(CLEAN(SUBSTITUTE($B45,CHAR(160)," "))))
*
(--TEXT([2]Main!$N$2:$N$5000,"dd/mm/yyyy")=
--TEXT($C45,"dd/mm/yyyy")),
[2]Main!$C$2:$C$5000,
"Không tìm thấy"
)
)</f>
        <v>034203010572</v>
      </c>
      <c r="L45" s="13" t="str" cm="1">
        <f t="array" ref="L45">IFERROR(
_xlfn.XLOOKUP(
1,
(TRIM(CLEAN(SUBSTITUTE([1]Main!$F$2:$F$5000,CHAR(160)," ")))=
TRIM(CLEAN(SUBSTITUTE($B45,CHAR(160)," "))))
*
(--TEXT([1]Main!$N$2:$N$5000,"dd/mm/yyyy")=
--TEXT($C45,"dd/mm/yyyy")),
[1]Main!$Q$2:$Q$5000
),
_xlfn.XLOOKUP(
1,
(TRIM(CLEAN(SUBSTITUTE([2]Main!$F$2:$F$5000,CHAR(160)," ")))=
TRIM(CLEAN(SUBSTITUTE($B45,CHAR(160)," "))))
*
(--TEXT([2]Main!$N$2:$N$5000,"dd/mm/yyyy")=
--TEXT($C45,"dd/mm/yyyy")),
[2]Main!$Q$2:$Q$5000,
"Không tìm thấy"
)
)</f>
        <v>Nam</v>
      </c>
      <c r="M45" s="13" t="str" cm="1">
        <f t="array" ref="M45">IFERROR(
_xlfn.XLOOKUP(
1,
(TRIM(CLEAN(SUBSTITUTE([1]Main!$F$2:$F$5000,CHAR(160)," ")))=
TRIM(CLEAN(SUBSTITUTE($B45,CHAR(160)," "))))
*
(--TEXT([1]Main!$N$2:$N$5000,"dd/mm/yyyy")=
--TEXT($C45,"dd/mm/yyyy")),
[1]Main!$S$2:$S$5000
),
_xlfn.XLOOKUP(
1,
(TRIM(CLEAN(SUBSTITUTE([2]Main!$F$2:$F$5000,CHAR(160)," ")))=
TRIM(CLEAN(SUBSTITUTE($B45,CHAR(160)," "))))
*
(--TEXT([2]Main!$N$2:$N$5000,"dd/mm/yyyy")=
--TEXT($C45,"dd/mm/yyyy")),
[2]Main!$S$2:$S$5000,
"Không tìm thấy"
)
)</f>
        <v>VN</v>
      </c>
      <c r="N45" s="13" t="str" cm="1">
        <f t="array" ref="N45">IFERROR(
_xlfn.XLOOKUP(
1,
(TRIM(CLEAN(SUBSTITUTE([1]Main!$F$2:$F$5000,CHAR(160)," ")))=
TRIM(CLEAN(SUBSTITUTE($B45,CHAR(160)," "))))
*
(--TEXT([1]Main!$N$2:$N$5000,"dd/mm/yyyy")=
--TEXT($C45,"dd/mm/yyyy")),
[1]Main!$AL$2:$AL$5000
),
_xlfn.XLOOKUP(
1,
(TRIM(CLEAN(SUBSTITUTE([2]Main!$F$2:$F$5000,CHAR(160)," ")))=
TRIM(CLEAN(SUBSTITUTE($B45,CHAR(160)," "))))
*
(--TEXT([2]Main!$N$2:$N$5000,"dd/mm/yyyy")=
--TEXT($C45,"dd/mm/yyyy")),
[2]Main!$AL$2:$AL$5000,
"Không tìm thấy"
)
)</f>
        <v>Thành phố Hà Nội</v>
      </c>
      <c r="O45" s="10"/>
      <c r="P45" s="10"/>
      <c r="Q45" s="10"/>
      <c r="R45" s="10"/>
      <c r="S45" s="10"/>
      <c r="T45" s="3" t="s">
        <v>653</v>
      </c>
      <c r="U45" s="3"/>
      <c r="V45" s="3"/>
      <c r="W45" s="3" t="str">
        <f>IF(
    COUNTIFS(
        [1]Main!$F:$F,$B45,
        [1]Main!$N:$N,$C45
    )&gt;0,
    "Active",
    IF(
        COUNTIFS(
            [2]Main!$F:$F,$B45,
            [2]Main!$N:$N,$C45
        )&gt;0,
        "Inactive",
        "Không tìm thấy"
    )
)</f>
        <v>Active</v>
      </c>
      <c r="X45" s="15" t="str" cm="1">
        <f t="array" ref="X45">IFERROR(
_xlfn.XLOOKUP(
1,
(TRIM(CLEAN(SUBSTITUTE([2]Main!$F$2:$F$5000,CHAR(160)," ")))=
TRIM(CLEAN(SUBSTITUTE($B45,CHAR(160)," "))))
*
(--TEXT([2]Main!$N$2:$N$5000,"dd/mm/yyyy")=
--TEXT($C45,"dd/mm/yyyy")),
[2]Main!$AA$2:$AA$5000,
""
),
"")</f>
        <v/>
      </c>
      <c r="Y45" s="3"/>
      <c r="Z45" s="3"/>
      <c r="AA45" s="3"/>
      <c r="AB45" s="3"/>
    </row>
    <row r="46" spans="1:28" ht="38.25" customHeight="1" x14ac:dyDescent="0.25">
      <c r="A46" s="1">
        <v>45</v>
      </c>
      <c r="B46" s="2" t="s">
        <v>268</v>
      </c>
      <c r="C46" s="2" t="s">
        <v>269</v>
      </c>
      <c r="D46" s="2" t="s">
        <v>270</v>
      </c>
      <c r="E46" s="2" t="s">
        <v>271</v>
      </c>
      <c r="F46" s="2" t="s">
        <v>47</v>
      </c>
      <c r="G46" s="2" t="s">
        <v>272</v>
      </c>
      <c r="H46" s="1" t="s">
        <v>267</v>
      </c>
      <c r="I46" s="1" t="s">
        <v>38</v>
      </c>
      <c r="J46" s="2" t="s">
        <v>126</v>
      </c>
      <c r="K46" s="13" t="str" cm="1">
        <f t="array" ref="K46">IFERROR(
_xlfn.XLOOKUP(
1,
(TRIM(CLEAN(SUBSTITUTE([1]Main!$F$2:$F$5000,CHAR(160)," ")))=
TRIM(CLEAN(SUBSTITUTE($B46,CHAR(160)," "))))
*
(--TEXT([1]Main!$N$2:$N$5000,"dd/mm/yyyy")=
--TEXT($C46,"dd/mm/yyyy")),
[1]Main!$C$2:$C$5000
),
_xlfn.XLOOKUP(
1,
(TRIM(CLEAN(SUBSTITUTE([2]Main!$F$2:$F$5000,CHAR(160)," ")))=
TRIM(CLEAN(SUBSTITUTE($B46,CHAR(160)," "))))
*
(--TEXT([2]Main!$N$2:$N$5000,"dd/mm/yyyy")=
--TEXT($C46,"dd/mm/yyyy")),
[2]Main!$C$2:$C$5000,
"Không tìm thấy"
)
)</f>
        <v>019202004149</v>
      </c>
      <c r="L46" s="13" t="str" cm="1">
        <f t="array" ref="L46">IFERROR(
_xlfn.XLOOKUP(
1,
(TRIM(CLEAN(SUBSTITUTE([1]Main!$F$2:$F$5000,CHAR(160)," ")))=
TRIM(CLEAN(SUBSTITUTE($B46,CHAR(160)," "))))
*
(--TEXT([1]Main!$N$2:$N$5000,"dd/mm/yyyy")=
--TEXT($C46,"dd/mm/yyyy")),
[1]Main!$Q$2:$Q$5000
),
_xlfn.XLOOKUP(
1,
(TRIM(CLEAN(SUBSTITUTE([2]Main!$F$2:$F$5000,CHAR(160)," ")))=
TRIM(CLEAN(SUBSTITUTE($B46,CHAR(160)," "))))
*
(--TEXT([2]Main!$N$2:$N$5000,"dd/mm/yyyy")=
--TEXT($C46,"dd/mm/yyyy")),
[2]Main!$Q$2:$Q$5000,
"Không tìm thấy"
)
)</f>
        <v>Nam</v>
      </c>
      <c r="M46" s="13" t="str" cm="1">
        <f t="array" ref="M46">IFERROR(
_xlfn.XLOOKUP(
1,
(TRIM(CLEAN(SUBSTITUTE([1]Main!$F$2:$F$5000,CHAR(160)," ")))=
TRIM(CLEAN(SUBSTITUTE($B46,CHAR(160)," "))))
*
(--TEXT([1]Main!$N$2:$N$5000,"dd/mm/yyyy")=
--TEXT($C46,"dd/mm/yyyy")),
[1]Main!$S$2:$S$5000
),
_xlfn.XLOOKUP(
1,
(TRIM(CLEAN(SUBSTITUTE([2]Main!$F$2:$F$5000,CHAR(160)," ")))=
TRIM(CLEAN(SUBSTITUTE($B46,CHAR(160)," "))))
*
(--TEXT([2]Main!$N$2:$N$5000,"dd/mm/yyyy")=
--TEXT($C46,"dd/mm/yyyy")),
[2]Main!$S$2:$S$5000,
"Không tìm thấy"
)
)</f>
        <v>VN</v>
      </c>
      <c r="N46" s="13" t="str" cm="1">
        <f t="array" ref="N46">IFERROR(
_xlfn.XLOOKUP(
1,
(TRIM(CLEAN(SUBSTITUTE([1]Main!$F$2:$F$5000,CHAR(160)," ")))=
TRIM(CLEAN(SUBSTITUTE($B46,CHAR(160)," "))))
*
(--TEXT([1]Main!$N$2:$N$5000,"dd/mm/yyyy")=
--TEXT($C46,"dd/mm/yyyy")),
[1]Main!$AL$2:$AL$5000
),
_xlfn.XLOOKUP(
1,
(TRIM(CLEAN(SUBSTITUTE([2]Main!$F$2:$F$5000,CHAR(160)," ")))=
TRIM(CLEAN(SUBSTITUTE($B46,CHAR(160)," "))))
*
(--TEXT([2]Main!$N$2:$N$5000,"dd/mm/yyyy")=
--TEXT($C46,"dd/mm/yyyy")),
[2]Main!$AL$2:$AL$5000,
"Không tìm thấy"
)
)</f>
        <v>Thành phố Hà Nội</v>
      </c>
      <c r="O46" s="10"/>
      <c r="P46" s="10"/>
      <c r="Q46" s="10"/>
      <c r="R46" s="10"/>
      <c r="S46" s="10"/>
      <c r="T46" s="3" t="s">
        <v>653</v>
      </c>
      <c r="U46" s="3"/>
      <c r="V46" s="3"/>
      <c r="W46" s="3" t="str">
        <f>IF(
    COUNTIFS(
        [1]Main!$F:$F,$B46,
        [1]Main!$N:$N,$C46
    )&gt;0,
    "Active",
    IF(
        COUNTIFS(
            [2]Main!$F:$F,$B46,
            [2]Main!$N:$N,$C46
        )&gt;0,
        "Inactive",
        "Không tìm thấy"
    )
)</f>
        <v>Active</v>
      </c>
      <c r="X46" s="15" t="str" cm="1">
        <f t="array" ref="X46">IFERROR(
_xlfn.XLOOKUP(
1,
(TRIM(CLEAN(SUBSTITUTE([2]Main!$F$2:$F$5000,CHAR(160)," ")))=
TRIM(CLEAN(SUBSTITUTE($B46,CHAR(160)," "))))
*
(--TEXT([2]Main!$N$2:$N$5000,"dd/mm/yyyy")=
--TEXT($C46,"dd/mm/yyyy")),
[2]Main!$AA$2:$AA$5000,
""
),
"")</f>
        <v/>
      </c>
      <c r="Y46" s="3"/>
      <c r="Z46" s="3"/>
      <c r="AA46" s="3"/>
      <c r="AB46" s="3"/>
    </row>
    <row r="47" spans="1:28" ht="25.5" customHeight="1" x14ac:dyDescent="0.25">
      <c r="A47" s="1">
        <v>46</v>
      </c>
      <c r="B47" s="2" t="s">
        <v>273</v>
      </c>
      <c r="C47" s="2" t="s">
        <v>274</v>
      </c>
      <c r="D47" s="2" t="s">
        <v>275</v>
      </c>
      <c r="E47" s="2" t="s">
        <v>257</v>
      </c>
      <c r="F47" s="2" t="s">
        <v>252</v>
      </c>
      <c r="G47" s="2" t="s">
        <v>258</v>
      </c>
      <c r="H47" s="1" t="s">
        <v>267</v>
      </c>
      <c r="I47" s="1" t="s">
        <v>14</v>
      </c>
      <c r="J47" s="2" t="s">
        <v>15</v>
      </c>
      <c r="K47" s="13" t="str" cm="1">
        <f t="array" ref="K47">IFERROR(
_xlfn.XLOOKUP(
1,
(TRIM(CLEAN(SUBSTITUTE([1]Main!$F$2:$F$5000,CHAR(160)," ")))=
TRIM(CLEAN(SUBSTITUTE($B47,CHAR(160)," "))))
*
(--TEXT([1]Main!$N$2:$N$5000,"dd/mm/yyyy")=
--TEXT($C47,"dd/mm/yyyy")),
[1]Main!$C$2:$C$5000
),
_xlfn.XLOOKUP(
1,
(TRIM(CLEAN(SUBSTITUTE([2]Main!$F$2:$F$5000,CHAR(160)," ")))=
TRIM(CLEAN(SUBSTITUTE($B47,CHAR(160)," "))))
*
(--TEXT([2]Main!$N$2:$N$5000,"dd/mm/yyyy")=
--TEXT($C47,"dd/mm/yyyy")),
[2]Main!$C$2:$C$5000,
"Không tìm thấy"
)
)</f>
        <v>8625679904</v>
      </c>
      <c r="L47" s="13" t="str" cm="1">
        <f t="array" ref="L47">IFERROR(
_xlfn.XLOOKUP(
1,
(TRIM(CLEAN(SUBSTITUTE([1]Main!$F$2:$F$5000,CHAR(160)," ")))=
TRIM(CLEAN(SUBSTITUTE($B47,CHAR(160)," "))))
*
(--TEXT([1]Main!$N$2:$N$5000,"dd/mm/yyyy")=
--TEXT($C47,"dd/mm/yyyy")),
[1]Main!$Q$2:$Q$5000
),
_xlfn.XLOOKUP(
1,
(TRIM(CLEAN(SUBSTITUTE([2]Main!$F$2:$F$5000,CHAR(160)," ")))=
TRIM(CLEAN(SUBSTITUTE($B47,CHAR(160)," "))))
*
(--TEXT([2]Main!$N$2:$N$5000,"dd/mm/yyyy")=
--TEXT($C47,"dd/mm/yyyy")),
[2]Main!$Q$2:$Q$5000,
"Không tìm thấy"
)
)</f>
        <v>Nữ</v>
      </c>
      <c r="M47" s="13" t="str" cm="1">
        <f t="array" ref="M47">IFERROR(
_xlfn.XLOOKUP(
1,
(TRIM(CLEAN(SUBSTITUTE([1]Main!$F$2:$F$5000,CHAR(160)," ")))=
TRIM(CLEAN(SUBSTITUTE($B47,CHAR(160)," "))))
*
(--TEXT([1]Main!$N$2:$N$5000,"dd/mm/yyyy")=
--TEXT($C47,"dd/mm/yyyy")),
[1]Main!$S$2:$S$5000
),
_xlfn.XLOOKUP(
1,
(TRIM(CLEAN(SUBSTITUTE([2]Main!$F$2:$F$5000,CHAR(160)," ")))=
TRIM(CLEAN(SUBSTITUTE($B47,CHAR(160)," "))))
*
(--TEXT([2]Main!$N$2:$N$5000,"dd/mm/yyyy")=
--TEXT($C47,"dd/mm/yyyy")),
[2]Main!$S$2:$S$5000,
"Không tìm thấy"
)
)</f>
        <v>VN</v>
      </c>
      <c r="N47" s="13" t="str" cm="1">
        <f t="array" ref="N47">IFERROR(
_xlfn.XLOOKUP(
1,
(TRIM(CLEAN(SUBSTITUTE([1]Main!$F$2:$F$5000,CHAR(160)," ")))=
TRIM(CLEAN(SUBSTITUTE($B47,CHAR(160)," "))))
*
(--TEXT([1]Main!$N$2:$N$5000,"dd/mm/yyyy")=
--TEXT($C47,"dd/mm/yyyy")),
[1]Main!$AL$2:$AL$5000
),
_xlfn.XLOOKUP(
1,
(TRIM(CLEAN(SUBSTITUTE([2]Main!$F$2:$F$5000,CHAR(160)," ")))=
TRIM(CLEAN(SUBSTITUTE($B47,CHAR(160)," "))))
*
(--TEXT([2]Main!$N$2:$N$5000,"dd/mm/yyyy")=
--TEXT($C47,"dd/mm/yyyy")),
[2]Main!$AL$2:$AL$5000,
"Không tìm thấy"
)
)</f>
        <v>Thành phố Hà Nội</v>
      </c>
      <c r="O47" s="10"/>
      <c r="P47" s="10"/>
      <c r="Q47" s="10"/>
      <c r="R47" s="10"/>
      <c r="S47" s="10"/>
      <c r="T47" s="3" t="s">
        <v>653</v>
      </c>
      <c r="U47" s="3"/>
      <c r="V47" s="3"/>
      <c r="W47" s="3" t="str">
        <f>IF(
    COUNTIFS(
        [1]Main!$F:$F,$B47,
        [1]Main!$N:$N,$C47
    )&gt;0,
    "Active",
    IF(
        COUNTIFS(
            [2]Main!$F:$F,$B47,
            [2]Main!$N:$N,$C47
        )&gt;0,
        "Inactive",
        "Không tìm thấy"
    )
)</f>
        <v>Active</v>
      </c>
      <c r="X47" s="15" t="str" cm="1">
        <f t="array" ref="X47">IFERROR(
_xlfn.XLOOKUP(
1,
(TRIM(CLEAN(SUBSTITUTE([2]Main!$F$2:$F$5000,CHAR(160)," ")))=
TRIM(CLEAN(SUBSTITUTE($B47,CHAR(160)," "))))
*
(--TEXT([2]Main!$N$2:$N$5000,"dd/mm/yyyy")=
--TEXT($C47,"dd/mm/yyyy")),
[2]Main!$AA$2:$AA$5000,
""
),
"")</f>
        <v/>
      </c>
      <c r="Y47" s="3"/>
      <c r="Z47" s="3"/>
      <c r="AA47" s="3"/>
      <c r="AB47" s="3"/>
    </row>
    <row r="48" spans="1:28" ht="38.25" customHeight="1" x14ac:dyDescent="0.25">
      <c r="A48" s="1">
        <v>47</v>
      </c>
      <c r="B48" s="2" t="s">
        <v>276</v>
      </c>
      <c r="C48" s="2" t="s">
        <v>277</v>
      </c>
      <c r="D48" s="2" t="s">
        <v>278</v>
      </c>
      <c r="E48" s="2" t="s">
        <v>279</v>
      </c>
      <c r="F48" s="2" t="s">
        <v>155</v>
      </c>
      <c r="G48" s="2" t="s">
        <v>280</v>
      </c>
      <c r="H48" s="1" t="s">
        <v>281</v>
      </c>
      <c r="I48" s="1" t="s">
        <v>14</v>
      </c>
      <c r="J48" s="2" t="s">
        <v>15</v>
      </c>
      <c r="K48" s="13" t="str" cm="1">
        <f t="array" ref="K48">IFERROR(
_xlfn.XLOOKUP(
1,
(TRIM(CLEAN(SUBSTITUTE([1]Main!$F$2:$F$5000,CHAR(160)," ")))=
TRIM(CLEAN(SUBSTITUTE($B48,CHAR(160)," "))))
*
(--TEXT([1]Main!$N$2:$N$5000,"dd/mm/yyyy")=
--TEXT($C48,"dd/mm/yyyy")),
[1]Main!$C$2:$C$5000
),
_xlfn.XLOOKUP(
1,
(TRIM(CLEAN(SUBSTITUTE([2]Main!$F$2:$F$5000,CHAR(160)," ")))=
TRIM(CLEAN(SUBSTITUTE($B48,CHAR(160)," "))))
*
(--TEXT([2]Main!$N$2:$N$5000,"dd/mm/yyyy")=
--TEXT($C48,"dd/mm/yyyy")),
[2]Main!$C$2:$C$5000,
"Không tìm thấy"
)
)</f>
        <v>8635846174</v>
      </c>
      <c r="L48" s="13" t="str" cm="1">
        <f t="array" ref="L48">IFERROR(
_xlfn.XLOOKUP(
1,
(TRIM(CLEAN(SUBSTITUTE([1]Main!$F$2:$F$5000,CHAR(160)," ")))=
TRIM(CLEAN(SUBSTITUTE($B48,CHAR(160)," "))))
*
(--TEXT([1]Main!$N$2:$N$5000,"dd/mm/yyyy")=
--TEXT($C48,"dd/mm/yyyy")),
[1]Main!$Q$2:$Q$5000
),
_xlfn.XLOOKUP(
1,
(TRIM(CLEAN(SUBSTITUTE([2]Main!$F$2:$F$5000,CHAR(160)," ")))=
TRIM(CLEAN(SUBSTITUTE($B48,CHAR(160)," "))))
*
(--TEXT([2]Main!$N$2:$N$5000,"dd/mm/yyyy")=
--TEXT($C48,"dd/mm/yyyy")),
[2]Main!$Q$2:$Q$5000,
"Không tìm thấy"
)
)</f>
        <v>Nam</v>
      </c>
      <c r="M48" s="13" t="str" cm="1">
        <f t="array" ref="M48">IFERROR(
_xlfn.XLOOKUP(
1,
(TRIM(CLEAN(SUBSTITUTE([1]Main!$F$2:$F$5000,CHAR(160)," ")))=
TRIM(CLEAN(SUBSTITUTE($B48,CHAR(160)," "))))
*
(--TEXT([1]Main!$N$2:$N$5000,"dd/mm/yyyy")=
--TEXT($C48,"dd/mm/yyyy")),
[1]Main!$S$2:$S$5000
),
_xlfn.XLOOKUP(
1,
(TRIM(CLEAN(SUBSTITUTE([2]Main!$F$2:$F$5000,CHAR(160)," ")))=
TRIM(CLEAN(SUBSTITUTE($B48,CHAR(160)," "))))
*
(--TEXT([2]Main!$N$2:$N$5000,"dd/mm/yyyy")=
--TEXT($C48,"dd/mm/yyyy")),
[2]Main!$S$2:$S$5000,
"Không tìm thấy"
)
)</f>
        <v>VN</v>
      </c>
      <c r="N48" s="13" t="str" cm="1">
        <f t="array" ref="N48">IFERROR(
_xlfn.XLOOKUP(
1,
(TRIM(CLEAN(SUBSTITUTE([1]Main!$F$2:$F$5000,CHAR(160)," ")))=
TRIM(CLEAN(SUBSTITUTE($B48,CHAR(160)," "))))
*
(--TEXT([1]Main!$N$2:$N$5000,"dd/mm/yyyy")=
--TEXT($C48,"dd/mm/yyyy")),
[1]Main!$AL$2:$AL$5000
),
_xlfn.XLOOKUP(
1,
(TRIM(CLEAN(SUBSTITUTE([2]Main!$F$2:$F$5000,CHAR(160)," ")))=
TRIM(CLEAN(SUBSTITUTE($B48,CHAR(160)," "))))
*
(--TEXT([2]Main!$N$2:$N$5000,"dd/mm/yyyy")=
--TEXT($C48,"dd/mm/yyyy")),
[2]Main!$AL$2:$AL$5000,
"Không tìm thấy"
)
)</f>
        <v>Thành phố Hà Nội</v>
      </c>
      <c r="O48" s="10"/>
      <c r="P48" s="10"/>
      <c r="Q48" s="10"/>
      <c r="R48" s="10"/>
      <c r="S48" s="10"/>
      <c r="T48" s="3" t="s">
        <v>653</v>
      </c>
      <c r="U48" s="3"/>
      <c r="V48" s="3"/>
      <c r="W48" s="3" t="str">
        <f>IF(
    COUNTIFS(
        [1]Main!$F:$F,$B48,
        [1]Main!$N:$N,$C48
    )&gt;0,
    "Active",
    IF(
        COUNTIFS(
            [2]Main!$F:$F,$B48,
            [2]Main!$N:$N,$C48
        )&gt;0,
        "Inactive",
        "Không tìm thấy"
    )
)</f>
        <v>Inactive</v>
      </c>
      <c r="X48" s="15" cm="1">
        <f t="array" ref="X48">IFERROR(
_xlfn.XLOOKUP(
1,
(TRIM(CLEAN(SUBSTITUTE([2]Main!$F$2:$F$5000,CHAR(160)," ")))=
TRIM(CLEAN(SUBSTITUTE($B48,CHAR(160)," "))))
*
(--TEXT([2]Main!$N$2:$N$5000,"dd/mm/yyyy")=
--TEXT($C48,"dd/mm/yyyy")),
[2]Main!$AA$2:$AA$5000,
""
),
"")</f>
        <v>46138</v>
      </c>
      <c r="Y48" s="3"/>
      <c r="Z48" s="3"/>
      <c r="AA48" s="3"/>
      <c r="AB48" s="3"/>
    </row>
    <row r="49" spans="1:28" ht="38.25" customHeight="1" x14ac:dyDescent="0.25">
      <c r="A49" s="1">
        <v>48</v>
      </c>
      <c r="B49" s="2" t="s">
        <v>282</v>
      </c>
      <c r="C49" s="2" t="s">
        <v>283</v>
      </c>
      <c r="D49" s="2" t="s">
        <v>284</v>
      </c>
      <c r="E49" s="2" t="s">
        <v>160</v>
      </c>
      <c r="F49" s="2" t="s">
        <v>161</v>
      </c>
      <c r="G49" s="2" t="s">
        <v>142</v>
      </c>
      <c r="H49" s="1" t="s">
        <v>285</v>
      </c>
      <c r="I49" s="1" t="s">
        <v>14</v>
      </c>
      <c r="J49" s="2" t="s">
        <v>30</v>
      </c>
      <c r="K49" s="13" t="str" cm="1">
        <f t="array" ref="K49">IFERROR(
_xlfn.XLOOKUP(
1,
(TRIM(CLEAN(SUBSTITUTE([1]Main!$F$2:$F$5000,CHAR(160)," ")))=
TRIM(CLEAN(SUBSTITUTE($B49,CHAR(160)," "))))
*
(--TEXT([1]Main!$N$2:$N$5000,"dd/mm/yyyy")=
--TEXT($C49,"dd/mm/yyyy")),
[1]Main!$C$2:$C$5000
),
_xlfn.XLOOKUP(
1,
(TRIM(CLEAN(SUBSTITUTE([2]Main!$F$2:$F$5000,CHAR(160)," ")))=
TRIM(CLEAN(SUBSTITUTE($B49,CHAR(160)," "))))
*
(--TEXT([2]Main!$N$2:$N$5000,"dd/mm/yyyy")=
--TEXT($C49,"dd/mm/yyyy")),
[2]Main!$C$2:$C$5000,
"Không tìm thấy"
)
)</f>
        <v>0131128402</v>
      </c>
      <c r="L49" s="13" t="str" cm="1">
        <f t="array" ref="L49">IFERROR(
_xlfn.XLOOKUP(
1,
(TRIM(CLEAN(SUBSTITUTE([1]Main!$F$2:$F$5000,CHAR(160)," ")))=
TRIM(CLEAN(SUBSTITUTE($B49,CHAR(160)," "))))
*
(--TEXT([1]Main!$N$2:$N$5000,"dd/mm/yyyy")=
--TEXT($C49,"dd/mm/yyyy")),
[1]Main!$Q$2:$Q$5000
),
_xlfn.XLOOKUP(
1,
(TRIM(CLEAN(SUBSTITUTE([2]Main!$F$2:$F$5000,CHAR(160)," ")))=
TRIM(CLEAN(SUBSTITUTE($B49,CHAR(160)," "))))
*
(--TEXT([2]Main!$N$2:$N$5000,"dd/mm/yyyy")=
--TEXT($C49,"dd/mm/yyyy")),
[2]Main!$Q$2:$Q$5000,
"Không tìm thấy"
)
)</f>
        <v>Nữ</v>
      </c>
      <c r="M49" s="13" t="str" cm="1">
        <f t="array" ref="M49">IFERROR(
_xlfn.XLOOKUP(
1,
(TRIM(CLEAN(SUBSTITUTE([1]Main!$F$2:$F$5000,CHAR(160)," ")))=
TRIM(CLEAN(SUBSTITUTE($B49,CHAR(160)," "))))
*
(--TEXT([1]Main!$N$2:$N$5000,"dd/mm/yyyy")=
--TEXT($C49,"dd/mm/yyyy")),
[1]Main!$S$2:$S$5000
),
_xlfn.XLOOKUP(
1,
(TRIM(CLEAN(SUBSTITUTE([2]Main!$F$2:$F$5000,CHAR(160)," ")))=
TRIM(CLEAN(SUBSTITUTE($B49,CHAR(160)," "))))
*
(--TEXT([2]Main!$N$2:$N$5000,"dd/mm/yyyy")=
--TEXT($C49,"dd/mm/yyyy")),
[2]Main!$S$2:$S$5000,
"Không tìm thấy"
)
)</f>
        <v>VN</v>
      </c>
      <c r="N49" s="13" t="str" cm="1">
        <f t="array" ref="N49">IFERROR(
_xlfn.XLOOKUP(
1,
(TRIM(CLEAN(SUBSTITUTE([1]Main!$F$2:$F$5000,CHAR(160)," ")))=
TRIM(CLEAN(SUBSTITUTE($B49,CHAR(160)," "))))
*
(--TEXT([1]Main!$N$2:$N$5000,"dd/mm/yyyy")=
--TEXT($C49,"dd/mm/yyyy")),
[1]Main!$AL$2:$AL$5000
),
_xlfn.XLOOKUP(
1,
(TRIM(CLEAN(SUBSTITUTE([2]Main!$F$2:$F$5000,CHAR(160)," ")))=
TRIM(CLEAN(SUBSTITUTE($B49,CHAR(160)," "))))
*
(--TEXT([2]Main!$N$2:$N$5000,"dd/mm/yyyy")=
--TEXT($C49,"dd/mm/yyyy")),
[2]Main!$AL$2:$AL$5000,
"Không tìm thấy"
)
)</f>
        <v>Thành phố Hà Nội</v>
      </c>
      <c r="O49" s="10"/>
      <c r="P49" s="10"/>
      <c r="Q49" s="10"/>
      <c r="R49" s="10"/>
      <c r="S49" s="10"/>
      <c r="T49" s="3" t="s">
        <v>653</v>
      </c>
      <c r="U49" s="3"/>
      <c r="V49" s="3"/>
      <c r="W49" s="3" t="str">
        <f>IF(
    COUNTIFS(
        [1]Main!$F:$F,$B49,
        [1]Main!$N:$N,$C49
    )&gt;0,
    "Active",
    IF(
        COUNTIFS(
            [2]Main!$F:$F,$B49,
            [2]Main!$N:$N,$C49
        )&gt;0,
        "Inactive",
        "Không tìm thấy"
    )
)</f>
        <v>Active</v>
      </c>
      <c r="X49" s="15" t="str" cm="1">
        <f t="array" ref="X49">IFERROR(
_xlfn.XLOOKUP(
1,
(TRIM(CLEAN(SUBSTITUTE([2]Main!$F$2:$F$5000,CHAR(160)," ")))=
TRIM(CLEAN(SUBSTITUTE($B49,CHAR(160)," "))))
*
(--TEXT([2]Main!$N$2:$N$5000,"dd/mm/yyyy")=
--TEXT($C49,"dd/mm/yyyy")),
[2]Main!$AA$2:$AA$5000,
""
),
"")</f>
        <v/>
      </c>
      <c r="Y49" s="3"/>
      <c r="Z49" s="3"/>
      <c r="AA49" s="3"/>
      <c r="AB49" s="3"/>
    </row>
    <row r="50" spans="1:28" ht="38.25" customHeight="1" x14ac:dyDescent="0.25">
      <c r="A50" s="1">
        <v>49</v>
      </c>
      <c r="B50" s="2" t="s">
        <v>286</v>
      </c>
      <c r="C50" s="2" t="s">
        <v>287</v>
      </c>
      <c r="D50" s="2" t="s">
        <v>288</v>
      </c>
      <c r="E50" s="2" t="s">
        <v>289</v>
      </c>
      <c r="F50" s="2" t="s">
        <v>161</v>
      </c>
      <c r="G50" s="2" t="s">
        <v>290</v>
      </c>
      <c r="H50" s="1" t="s">
        <v>291</v>
      </c>
      <c r="I50" s="1" t="s">
        <v>14</v>
      </c>
      <c r="J50" s="2" t="s">
        <v>15</v>
      </c>
      <c r="K50" s="13" t="str" cm="1">
        <f t="array" ref="K50">IFERROR(
_xlfn.XLOOKUP(
1,
(TRIM(CLEAN(SUBSTITUTE([1]Main!$F$2:$F$5000,CHAR(160)," ")))=
TRIM(CLEAN(SUBSTITUTE($B50,CHAR(160)," "))))
*
(--TEXT([1]Main!$N$2:$N$5000,"dd/mm/yyyy")=
--TEXT($C50,"dd/mm/yyyy")),
[1]Main!$C$2:$C$5000
),
_xlfn.XLOOKUP(
1,
(TRIM(CLEAN(SUBSTITUTE([2]Main!$F$2:$F$5000,CHAR(160)," ")))=
TRIM(CLEAN(SUBSTITUTE($B50,CHAR(160)," "))))
*
(--TEXT([2]Main!$N$2:$N$5000,"dd/mm/yyyy")=
--TEXT($C50,"dd/mm/yyyy")),
[2]Main!$C$2:$C$5000,
"Không tìm thấy"
)
)</f>
        <v>8860341008</v>
      </c>
      <c r="L50" s="13" t="str" cm="1">
        <f t="array" ref="L50">IFERROR(
_xlfn.XLOOKUP(
1,
(TRIM(CLEAN(SUBSTITUTE([1]Main!$F$2:$F$5000,CHAR(160)," ")))=
TRIM(CLEAN(SUBSTITUTE($B50,CHAR(160)," "))))
*
(--TEXT([1]Main!$N$2:$N$5000,"dd/mm/yyyy")=
--TEXT($C50,"dd/mm/yyyy")),
[1]Main!$Q$2:$Q$5000
),
_xlfn.XLOOKUP(
1,
(TRIM(CLEAN(SUBSTITUTE([2]Main!$F$2:$F$5000,CHAR(160)," ")))=
TRIM(CLEAN(SUBSTITUTE($B50,CHAR(160)," "))))
*
(--TEXT([2]Main!$N$2:$N$5000,"dd/mm/yyyy")=
--TEXT($C50,"dd/mm/yyyy")),
[2]Main!$Q$2:$Q$5000,
"Không tìm thấy"
)
)</f>
        <v>Nữ</v>
      </c>
      <c r="M50" s="13" t="str" cm="1">
        <f t="array" ref="M50">IFERROR(
_xlfn.XLOOKUP(
1,
(TRIM(CLEAN(SUBSTITUTE([1]Main!$F$2:$F$5000,CHAR(160)," ")))=
TRIM(CLEAN(SUBSTITUTE($B50,CHAR(160)," "))))
*
(--TEXT([1]Main!$N$2:$N$5000,"dd/mm/yyyy")=
--TEXT($C50,"dd/mm/yyyy")),
[1]Main!$S$2:$S$5000
),
_xlfn.XLOOKUP(
1,
(TRIM(CLEAN(SUBSTITUTE([2]Main!$F$2:$F$5000,CHAR(160)," ")))=
TRIM(CLEAN(SUBSTITUTE($B50,CHAR(160)," "))))
*
(--TEXT([2]Main!$N$2:$N$5000,"dd/mm/yyyy")=
--TEXT($C50,"dd/mm/yyyy")),
[2]Main!$S$2:$S$5000,
"Không tìm thấy"
)
)</f>
        <v>VN</v>
      </c>
      <c r="N50" s="13" t="str" cm="1">
        <f t="array" ref="N50">IFERROR(
_xlfn.XLOOKUP(
1,
(TRIM(CLEAN(SUBSTITUTE([1]Main!$F$2:$F$5000,CHAR(160)," ")))=
TRIM(CLEAN(SUBSTITUTE($B50,CHAR(160)," "))))
*
(--TEXT([1]Main!$N$2:$N$5000,"dd/mm/yyyy")=
--TEXT($C50,"dd/mm/yyyy")),
[1]Main!$AL$2:$AL$5000
),
_xlfn.XLOOKUP(
1,
(TRIM(CLEAN(SUBSTITUTE([2]Main!$F$2:$F$5000,CHAR(160)," ")))=
TRIM(CLEAN(SUBSTITUTE($B50,CHAR(160)," "))))
*
(--TEXT([2]Main!$N$2:$N$5000,"dd/mm/yyyy")=
--TEXT($C50,"dd/mm/yyyy")),
[2]Main!$AL$2:$AL$5000,
"Không tìm thấy"
)
)</f>
        <v>Thành phố Hà Nội</v>
      </c>
      <c r="O50" s="10"/>
      <c r="P50" s="10"/>
      <c r="Q50" s="10"/>
      <c r="R50" s="10"/>
      <c r="S50" s="10"/>
      <c r="T50" s="3" t="s">
        <v>653</v>
      </c>
      <c r="U50" s="3"/>
      <c r="V50" s="3"/>
      <c r="W50" s="3" t="str">
        <f>IF(
    COUNTIFS(
        [1]Main!$F:$F,$B50,
        [1]Main!$N:$N,$C50
    )&gt;0,
    "Active",
    IF(
        COUNTIFS(
            [2]Main!$F:$F,$B50,
            [2]Main!$N:$N,$C50
        )&gt;0,
        "Inactive",
        "Không tìm thấy"
    )
)</f>
        <v>Active</v>
      </c>
      <c r="X50" s="15" t="str" cm="1">
        <f t="array" ref="X50">IFERROR(
_xlfn.XLOOKUP(
1,
(TRIM(CLEAN(SUBSTITUTE([2]Main!$F$2:$F$5000,CHAR(160)," ")))=
TRIM(CLEAN(SUBSTITUTE($B50,CHAR(160)," "))))
*
(--TEXT([2]Main!$N$2:$N$5000,"dd/mm/yyyy")=
--TEXT($C50,"dd/mm/yyyy")),
[2]Main!$AA$2:$AA$5000,
""
),
"")</f>
        <v/>
      </c>
      <c r="Y50" s="3"/>
      <c r="Z50" s="3"/>
      <c r="AA50" s="3"/>
      <c r="AB50" s="3"/>
    </row>
    <row r="51" spans="1:28" ht="38.25" customHeight="1" x14ac:dyDescent="0.25">
      <c r="A51" s="1">
        <v>50</v>
      </c>
      <c r="B51" s="2" t="s">
        <v>292</v>
      </c>
      <c r="C51" s="2" t="s">
        <v>293</v>
      </c>
      <c r="D51" s="2" t="s">
        <v>294</v>
      </c>
      <c r="E51" s="2" t="s">
        <v>295</v>
      </c>
      <c r="F51" s="2" t="s">
        <v>296</v>
      </c>
      <c r="G51" s="2" t="s">
        <v>8</v>
      </c>
      <c r="H51" s="1" t="s">
        <v>297</v>
      </c>
      <c r="I51" s="1" t="s">
        <v>14</v>
      </c>
      <c r="J51" s="2" t="s">
        <v>15</v>
      </c>
      <c r="K51" s="13" t="str" cm="1">
        <f t="array" ref="K51">IFERROR(
_xlfn.XLOOKUP(
1,
(TRIM(CLEAN(SUBSTITUTE([1]Main!$F$2:$F$5000,CHAR(160)," ")))=
TRIM(CLEAN(SUBSTITUTE($B51,CHAR(160)," "))))
*
(--TEXT([1]Main!$N$2:$N$5000,"dd/mm/yyyy")=
--TEXT($C51,"dd/mm/yyyy")),
[1]Main!$C$2:$C$5000
),
_xlfn.XLOOKUP(
1,
(TRIM(CLEAN(SUBSTITUTE([2]Main!$F$2:$F$5000,CHAR(160)," ")))=
TRIM(CLEAN(SUBSTITUTE($B51,CHAR(160)," "))))
*
(--TEXT([2]Main!$N$2:$N$5000,"dd/mm/yyyy")=
--TEXT($C51,"dd/mm/yyyy")),
[2]Main!$C$2:$C$5000,
"Không tìm thấy"
)
)</f>
        <v>8390562447</v>
      </c>
      <c r="L51" s="13" t="str" cm="1">
        <f t="array" ref="L51">IFERROR(
_xlfn.XLOOKUP(
1,
(TRIM(CLEAN(SUBSTITUTE([1]Main!$F$2:$F$5000,CHAR(160)," ")))=
TRIM(CLEAN(SUBSTITUTE($B51,CHAR(160)," "))))
*
(--TEXT([1]Main!$N$2:$N$5000,"dd/mm/yyyy")=
--TEXT($C51,"dd/mm/yyyy")),
[1]Main!$Q$2:$Q$5000
),
_xlfn.XLOOKUP(
1,
(TRIM(CLEAN(SUBSTITUTE([2]Main!$F$2:$F$5000,CHAR(160)," ")))=
TRIM(CLEAN(SUBSTITUTE($B51,CHAR(160)," "))))
*
(--TEXT([2]Main!$N$2:$N$5000,"dd/mm/yyyy")=
--TEXT($C51,"dd/mm/yyyy")),
[2]Main!$Q$2:$Q$5000,
"Không tìm thấy"
)
)</f>
        <v>Nữ</v>
      </c>
      <c r="M51" s="13" t="str" cm="1">
        <f t="array" ref="M51">IFERROR(
_xlfn.XLOOKUP(
1,
(TRIM(CLEAN(SUBSTITUTE([1]Main!$F$2:$F$5000,CHAR(160)," ")))=
TRIM(CLEAN(SUBSTITUTE($B51,CHAR(160)," "))))
*
(--TEXT([1]Main!$N$2:$N$5000,"dd/mm/yyyy")=
--TEXT($C51,"dd/mm/yyyy")),
[1]Main!$S$2:$S$5000
),
_xlfn.XLOOKUP(
1,
(TRIM(CLEAN(SUBSTITUTE([2]Main!$F$2:$F$5000,CHAR(160)," ")))=
TRIM(CLEAN(SUBSTITUTE($B51,CHAR(160)," "))))
*
(--TEXT([2]Main!$N$2:$N$5000,"dd/mm/yyyy")=
--TEXT($C51,"dd/mm/yyyy")),
[2]Main!$S$2:$S$5000,
"Không tìm thấy"
)
)</f>
        <v>VN</v>
      </c>
      <c r="N51" s="13" t="str" cm="1">
        <f t="array" ref="N51">IFERROR(
_xlfn.XLOOKUP(
1,
(TRIM(CLEAN(SUBSTITUTE([1]Main!$F$2:$F$5000,CHAR(160)," ")))=
TRIM(CLEAN(SUBSTITUTE($B51,CHAR(160)," "))))
*
(--TEXT([1]Main!$N$2:$N$5000,"dd/mm/yyyy")=
--TEXT($C51,"dd/mm/yyyy")),
[1]Main!$AL$2:$AL$5000
),
_xlfn.XLOOKUP(
1,
(TRIM(CLEAN(SUBSTITUTE([2]Main!$F$2:$F$5000,CHAR(160)," ")))=
TRIM(CLEAN(SUBSTITUTE($B51,CHAR(160)," "))))
*
(--TEXT([2]Main!$N$2:$N$5000,"dd/mm/yyyy")=
--TEXT($C51,"dd/mm/yyyy")),
[2]Main!$AL$2:$AL$5000,
"Không tìm thấy"
)
)</f>
        <v>Thành phố Hà Nội</v>
      </c>
      <c r="O51" s="10"/>
      <c r="P51" s="10"/>
      <c r="Q51" s="10"/>
      <c r="R51" s="10"/>
      <c r="S51" s="10"/>
      <c r="T51" s="3" t="s">
        <v>653</v>
      </c>
      <c r="U51" s="3"/>
      <c r="V51" s="3"/>
      <c r="W51" s="3" t="str">
        <f>IF(
    COUNTIFS(
        [1]Main!$F:$F,$B51,
        [1]Main!$N:$N,$C51
    )&gt;0,
    "Active",
    IF(
        COUNTIFS(
            [2]Main!$F:$F,$B51,
            [2]Main!$N:$N,$C51
        )&gt;0,
        "Inactive",
        "Không tìm thấy"
    )
)</f>
        <v>Active</v>
      </c>
      <c r="X51" s="15" t="str" cm="1">
        <f t="array" ref="X51">IFERROR(
_xlfn.XLOOKUP(
1,
(TRIM(CLEAN(SUBSTITUTE([2]Main!$F$2:$F$5000,CHAR(160)," ")))=
TRIM(CLEAN(SUBSTITUTE($B51,CHAR(160)," "))))
*
(--TEXT([2]Main!$N$2:$N$5000,"dd/mm/yyyy")=
--TEXT($C51,"dd/mm/yyyy")),
[2]Main!$AA$2:$AA$5000,
""
),
"")</f>
        <v/>
      </c>
      <c r="Y51" s="3"/>
      <c r="Z51" s="3"/>
      <c r="AA51" s="3"/>
      <c r="AB51" s="3"/>
    </row>
    <row r="52" spans="1:28" ht="38.25" customHeight="1" x14ac:dyDescent="0.25">
      <c r="A52" s="1">
        <v>51</v>
      </c>
      <c r="B52" s="2" t="s">
        <v>298</v>
      </c>
      <c r="C52" s="2" t="s">
        <v>299</v>
      </c>
      <c r="D52" s="2" t="s">
        <v>300</v>
      </c>
      <c r="E52" s="2" t="s">
        <v>301</v>
      </c>
      <c r="F52" s="2" t="s">
        <v>161</v>
      </c>
      <c r="G52" s="2" t="s">
        <v>302</v>
      </c>
      <c r="H52" s="1" t="s">
        <v>303</v>
      </c>
      <c r="I52" s="1" t="s">
        <v>14</v>
      </c>
      <c r="J52" s="2" t="s">
        <v>15</v>
      </c>
      <c r="K52" s="13" t="str" cm="1">
        <f t="array" ref="K52">IFERROR(
_xlfn.XLOOKUP(
1,
(TRIM(CLEAN(SUBSTITUTE([1]Main!$F$2:$F$5000,CHAR(160)," ")))=
TRIM(CLEAN(SUBSTITUTE($B52,CHAR(160)," "))))
*
(--TEXT([1]Main!$N$2:$N$5000,"dd/mm/yyyy")=
--TEXT($C52,"dd/mm/yyyy")),
[1]Main!$C$2:$C$5000
),
_xlfn.XLOOKUP(
1,
(TRIM(CLEAN(SUBSTITUTE([2]Main!$F$2:$F$5000,CHAR(160)," ")))=
TRIM(CLEAN(SUBSTITUTE($B52,CHAR(160)," "))))
*
(--TEXT([2]Main!$N$2:$N$5000,"dd/mm/yyyy")=
--TEXT($C52,"dd/mm/yyyy")),
[2]Main!$C$2:$C$5000,
"Không tìm thấy"
)
)</f>
        <v>8504957787</v>
      </c>
      <c r="L52" s="13" t="str" cm="1">
        <f t="array" ref="L52">IFERROR(
_xlfn.XLOOKUP(
1,
(TRIM(CLEAN(SUBSTITUTE([1]Main!$F$2:$F$5000,CHAR(160)," ")))=
TRIM(CLEAN(SUBSTITUTE($B52,CHAR(160)," "))))
*
(--TEXT([1]Main!$N$2:$N$5000,"dd/mm/yyyy")=
--TEXT($C52,"dd/mm/yyyy")),
[1]Main!$Q$2:$Q$5000
),
_xlfn.XLOOKUP(
1,
(TRIM(CLEAN(SUBSTITUTE([2]Main!$F$2:$F$5000,CHAR(160)," ")))=
TRIM(CLEAN(SUBSTITUTE($B52,CHAR(160)," "))))
*
(--TEXT([2]Main!$N$2:$N$5000,"dd/mm/yyyy")=
--TEXT($C52,"dd/mm/yyyy")),
[2]Main!$Q$2:$Q$5000,
"Không tìm thấy"
)
)</f>
        <v>Nam</v>
      </c>
      <c r="M52" s="13" t="str" cm="1">
        <f t="array" ref="M52">IFERROR(
_xlfn.XLOOKUP(
1,
(TRIM(CLEAN(SUBSTITUTE([1]Main!$F$2:$F$5000,CHAR(160)," ")))=
TRIM(CLEAN(SUBSTITUTE($B52,CHAR(160)," "))))
*
(--TEXT([1]Main!$N$2:$N$5000,"dd/mm/yyyy")=
--TEXT($C52,"dd/mm/yyyy")),
[1]Main!$S$2:$S$5000
),
_xlfn.XLOOKUP(
1,
(TRIM(CLEAN(SUBSTITUTE([2]Main!$F$2:$F$5000,CHAR(160)," ")))=
TRIM(CLEAN(SUBSTITUTE($B52,CHAR(160)," "))))
*
(--TEXT([2]Main!$N$2:$N$5000,"dd/mm/yyyy")=
--TEXT($C52,"dd/mm/yyyy")),
[2]Main!$S$2:$S$5000,
"Không tìm thấy"
)
)</f>
        <v>VN</v>
      </c>
      <c r="N52" s="13" t="str" cm="1">
        <f t="array" ref="N52">IFERROR(
_xlfn.XLOOKUP(
1,
(TRIM(CLEAN(SUBSTITUTE([1]Main!$F$2:$F$5000,CHAR(160)," ")))=
TRIM(CLEAN(SUBSTITUTE($B52,CHAR(160)," "))))
*
(--TEXT([1]Main!$N$2:$N$5000,"dd/mm/yyyy")=
--TEXT($C52,"dd/mm/yyyy")),
[1]Main!$AL$2:$AL$5000
),
_xlfn.XLOOKUP(
1,
(TRIM(CLEAN(SUBSTITUTE([2]Main!$F$2:$F$5000,CHAR(160)," ")))=
TRIM(CLEAN(SUBSTITUTE($B52,CHAR(160)," "))))
*
(--TEXT([2]Main!$N$2:$N$5000,"dd/mm/yyyy")=
--TEXT($C52,"dd/mm/yyyy")),
[2]Main!$AL$2:$AL$5000,
"Không tìm thấy"
)
)</f>
        <v>Thành phố Hà Nội</v>
      </c>
      <c r="O52" s="10"/>
      <c r="P52" s="10"/>
      <c r="Q52" s="10"/>
      <c r="R52" s="10"/>
      <c r="S52" s="10"/>
      <c r="T52" s="3" t="s">
        <v>653</v>
      </c>
      <c r="U52" s="3"/>
      <c r="V52" s="3"/>
      <c r="W52" s="3" t="str">
        <f>IF(
    COUNTIFS(
        [1]Main!$F:$F,$B52,
        [1]Main!$N:$N,$C52
    )&gt;0,
    "Active",
    IF(
        COUNTIFS(
            [2]Main!$F:$F,$B52,
            [2]Main!$N:$N,$C52
        )&gt;0,
        "Inactive",
        "Không tìm thấy"
    )
)</f>
        <v>Active</v>
      </c>
      <c r="X52" s="15" t="str" cm="1">
        <f t="array" ref="X52">IFERROR(
_xlfn.XLOOKUP(
1,
(TRIM(CLEAN(SUBSTITUTE([2]Main!$F$2:$F$5000,CHAR(160)," ")))=
TRIM(CLEAN(SUBSTITUTE($B52,CHAR(160)," "))))
*
(--TEXT([2]Main!$N$2:$N$5000,"dd/mm/yyyy")=
--TEXT($C52,"dd/mm/yyyy")),
[2]Main!$AA$2:$AA$5000,
""
),
"")</f>
        <v/>
      </c>
      <c r="Y52" s="3"/>
      <c r="Z52" s="3"/>
      <c r="AA52" s="3"/>
      <c r="AB52" s="3"/>
    </row>
    <row r="53" spans="1:28" ht="25.5" customHeight="1" x14ac:dyDescent="0.25">
      <c r="A53" s="1">
        <v>52</v>
      </c>
      <c r="B53" s="2" t="s">
        <v>304</v>
      </c>
      <c r="C53" s="2" t="s">
        <v>305</v>
      </c>
      <c r="D53" s="2" t="s">
        <v>306</v>
      </c>
      <c r="E53" s="2" t="s">
        <v>301</v>
      </c>
      <c r="F53" s="2" t="s">
        <v>161</v>
      </c>
      <c r="G53" s="2" t="s">
        <v>307</v>
      </c>
      <c r="H53" s="1" t="s">
        <v>308</v>
      </c>
      <c r="I53" s="1" t="s">
        <v>14</v>
      </c>
      <c r="J53" s="2" t="s">
        <v>15</v>
      </c>
      <c r="K53" s="13" t="str" cm="1">
        <f t="array" ref="K53">IFERROR(
_xlfn.XLOOKUP(
1,
(TRIM(CLEAN(SUBSTITUTE([1]Main!$F$2:$F$5000,CHAR(160)," ")))=
TRIM(CLEAN(SUBSTITUTE($B53,CHAR(160)," "))))
*
(--TEXT([1]Main!$N$2:$N$5000,"dd/mm/yyyy")=
--TEXT($C53,"dd/mm/yyyy")),
[1]Main!$C$2:$C$5000
),
_xlfn.XLOOKUP(
1,
(TRIM(CLEAN(SUBSTITUTE([2]Main!$F$2:$F$5000,CHAR(160)," ")))=
TRIM(CLEAN(SUBSTITUTE($B53,CHAR(160)," "))))
*
(--TEXT([2]Main!$N$2:$N$5000,"dd/mm/yyyy")=
--TEXT($C53,"dd/mm/yyyy")),
[2]Main!$C$2:$C$5000,
"Không tìm thấy"
)
)</f>
        <v>035200004881</v>
      </c>
      <c r="L53" s="13" t="str" cm="1">
        <f t="array" ref="L53">IFERROR(
_xlfn.XLOOKUP(
1,
(TRIM(CLEAN(SUBSTITUTE([1]Main!$F$2:$F$5000,CHAR(160)," ")))=
TRIM(CLEAN(SUBSTITUTE($B53,CHAR(160)," "))))
*
(--TEXT([1]Main!$N$2:$N$5000,"dd/mm/yyyy")=
--TEXT($C53,"dd/mm/yyyy")),
[1]Main!$Q$2:$Q$5000
),
_xlfn.XLOOKUP(
1,
(TRIM(CLEAN(SUBSTITUTE([2]Main!$F$2:$F$5000,CHAR(160)," ")))=
TRIM(CLEAN(SUBSTITUTE($B53,CHAR(160)," "))))
*
(--TEXT([2]Main!$N$2:$N$5000,"dd/mm/yyyy")=
--TEXT($C53,"dd/mm/yyyy")),
[2]Main!$Q$2:$Q$5000,
"Không tìm thấy"
)
)</f>
        <v>Nam</v>
      </c>
      <c r="M53" s="13" t="str" cm="1">
        <f t="array" ref="M53">IFERROR(
_xlfn.XLOOKUP(
1,
(TRIM(CLEAN(SUBSTITUTE([1]Main!$F$2:$F$5000,CHAR(160)," ")))=
TRIM(CLEAN(SUBSTITUTE($B53,CHAR(160)," "))))
*
(--TEXT([1]Main!$N$2:$N$5000,"dd/mm/yyyy")=
--TEXT($C53,"dd/mm/yyyy")),
[1]Main!$S$2:$S$5000
),
_xlfn.XLOOKUP(
1,
(TRIM(CLEAN(SUBSTITUTE([2]Main!$F$2:$F$5000,CHAR(160)," ")))=
TRIM(CLEAN(SUBSTITUTE($B53,CHAR(160)," "))))
*
(--TEXT([2]Main!$N$2:$N$5000,"dd/mm/yyyy")=
--TEXT($C53,"dd/mm/yyyy")),
[2]Main!$S$2:$S$5000,
"Không tìm thấy"
)
)</f>
        <v>VN</v>
      </c>
      <c r="N53" s="13" t="str" cm="1">
        <f t="array" ref="N53">IFERROR(
_xlfn.XLOOKUP(
1,
(TRIM(CLEAN(SUBSTITUTE([1]Main!$F$2:$F$5000,CHAR(160)," ")))=
TRIM(CLEAN(SUBSTITUTE($B53,CHAR(160)," "))))
*
(--TEXT([1]Main!$N$2:$N$5000,"dd/mm/yyyy")=
--TEXT($C53,"dd/mm/yyyy")),
[1]Main!$AL$2:$AL$5000
),
_xlfn.XLOOKUP(
1,
(TRIM(CLEAN(SUBSTITUTE([2]Main!$F$2:$F$5000,CHAR(160)," ")))=
TRIM(CLEAN(SUBSTITUTE($B53,CHAR(160)," "))))
*
(--TEXT([2]Main!$N$2:$N$5000,"dd/mm/yyyy")=
--TEXT($C53,"dd/mm/yyyy")),
[2]Main!$AL$2:$AL$5000,
"Không tìm thấy"
)
)</f>
        <v>Thành phố Hà Nội</v>
      </c>
      <c r="O53" s="10"/>
      <c r="P53" s="10"/>
      <c r="Q53" s="10"/>
      <c r="R53" s="10"/>
      <c r="S53" s="10"/>
      <c r="T53" s="3" t="s">
        <v>653</v>
      </c>
      <c r="U53" s="3"/>
      <c r="V53" s="3"/>
      <c r="W53" s="3" t="str">
        <f>IF(
    COUNTIFS(
        [1]Main!$F:$F,$B53,
        [1]Main!$N:$N,$C53
    )&gt;0,
    "Active",
    IF(
        COUNTIFS(
            [2]Main!$F:$F,$B53,
            [2]Main!$N:$N,$C53
        )&gt;0,
        "Inactive",
        "Không tìm thấy"
    )
)</f>
        <v>Active</v>
      </c>
      <c r="X53" s="15" t="str" cm="1">
        <f t="array" ref="X53">IFERROR(
_xlfn.XLOOKUP(
1,
(TRIM(CLEAN(SUBSTITUTE([2]Main!$F$2:$F$5000,CHAR(160)," ")))=
TRIM(CLEAN(SUBSTITUTE($B53,CHAR(160)," "))))
*
(--TEXT([2]Main!$N$2:$N$5000,"dd/mm/yyyy")=
--TEXT($C53,"dd/mm/yyyy")),
[2]Main!$AA$2:$AA$5000,
""
),
"")</f>
        <v/>
      </c>
      <c r="Y53" s="3"/>
      <c r="Z53" s="3"/>
      <c r="AA53" s="3"/>
      <c r="AB53" s="3"/>
    </row>
    <row r="54" spans="1:28" ht="25.5" customHeight="1" x14ac:dyDescent="0.25">
      <c r="A54" s="1">
        <v>53</v>
      </c>
      <c r="B54" s="2" t="s">
        <v>309</v>
      </c>
      <c r="C54" s="2" t="s">
        <v>310</v>
      </c>
      <c r="D54" s="2" t="s">
        <v>311</v>
      </c>
      <c r="E54" s="2" t="s">
        <v>104</v>
      </c>
      <c r="F54" s="2" t="s">
        <v>105</v>
      </c>
      <c r="G54" s="2" t="s">
        <v>106</v>
      </c>
      <c r="H54" s="1" t="s">
        <v>37</v>
      </c>
      <c r="I54" s="1" t="s">
        <v>14</v>
      </c>
      <c r="J54" s="2" t="s">
        <v>15</v>
      </c>
      <c r="K54" s="13" t="str" cm="1">
        <f t="array" ref="K54">IFERROR(
_xlfn.XLOOKUP(
1,
(TRIM(CLEAN(SUBSTITUTE([1]Main!$F$2:$F$5000,CHAR(160)," ")))=
TRIM(CLEAN(SUBSTITUTE($B54,CHAR(160)," "))))
*
(--TEXT([1]Main!$N$2:$N$5000,"dd/mm/yyyy")=
--TEXT($C54,"dd/mm/yyyy")),
[1]Main!$C$2:$C$5000
),
_xlfn.XLOOKUP(
1,
(TRIM(CLEAN(SUBSTITUTE([2]Main!$F$2:$F$5000,CHAR(160)," ")))=
TRIM(CLEAN(SUBSTITUTE($B54,CHAR(160)," "))))
*
(--TEXT([2]Main!$N$2:$N$5000,"dd/mm/yyyy")=
--TEXT($C54,"dd/mm/yyyy")),
[2]Main!$C$2:$C$5000,
"Không tìm thấy"
)
)</f>
        <v>038305012918</v>
      </c>
      <c r="L54" s="13" t="str" cm="1">
        <f t="array" ref="L54">IFERROR(
_xlfn.XLOOKUP(
1,
(TRIM(CLEAN(SUBSTITUTE([1]Main!$F$2:$F$5000,CHAR(160)," ")))=
TRIM(CLEAN(SUBSTITUTE($B54,CHAR(160)," "))))
*
(--TEXT([1]Main!$N$2:$N$5000,"dd/mm/yyyy")=
--TEXT($C54,"dd/mm/yyyy")),
[1]Main!$Q$2:$Q$5000
),
_xlfn.XLOOKUP(
1,
(TRIM(CLEAN(SUBSTITUTE([2]Main!$F$2:$F$5000,CHAR(160)," ")))=
TRIM(CLEAN(SUBSTITUTE($B54,CHAR(160)," "))))
*
(--TEXT([2]Main!$N$2:$N$5000,"dd/mm/yyyy")=
--TEXT($C54,"dd/mm/yyyy")),
[2]Main!$Q$2:$Q$5000,
"Không tìm thấy"
)
)</f>
        <v>Nữ</v>
      </c>
      <c r="M54" s="13" t="str" cm="1">
        <f t="array" ref="M54">IFERROR(
_xlfn.XLOOKUP(
1,
(TRIM(CLEAN(SUBSTITUTE([1]Main!$F$2:$F$5000,CHAR(160)," ")))=
TRIM(CLEAN(SUBSTITUTE($B54,CHAR(160)," "))))
*
(--TEXT([1]Main!$N$2:$N$5000,"dd/mm/yyyy")=
--TEXT($C54,"dd/mm/yyyy")),
[1]Main!$S$2:$S$5000
),
_xlfn.XLOOKUP(
1,
(TRIM(CLEAN(SUBSTITUTE([2]Main!$F$2:$F$5000,CHAR(160)," ")))=
TRIM(CLEAN(SUBSTITUTE($B54,CHAR(160)," "))))
*
(--TEXT([2]Main!$N$2:$N$5000,"dd/mm/yyyy")=
--TEXT($C54,"dd/mm/yyyy")),
[2]Main!$S$2:$S$5000,
"Không tìm thấy"
)
)</f>
        <v>VN</v>
      </c>
      <c r="N54" s="13" t="str" cm="1">
        <f t="array" ref="N54">IFERROR(
_xlfn.XLOOKUP(
1,
(TRIM(CLEAN(SUBSTITUTE([1]Main!$F$2:$F$5000,CHAR(160)," ")))=
TRIM(CLEAN(SUBSTITUTE($B54,CHAR(160)," "))))
*
(--TEXT([1]Main!$N$2:$N$5000,"dd/mm/yyyy")=
--TEXT($C54,"dd/mm/yyyy")),
[1]Main!$AL$2:$AL$5000
),
_xlfn.XLOOKUP(
1,
(TRIM(CLEAN(SUBSTITUTE([2]Main!$F$2:$F$5000,CHAR(160)," ")))=
TRIM(CLEAN(SUBSTITUTE($B54,CHAR(160)," "))))
*
(--TEXT([2]Main!$N$2:$N$5000,"dd/mm/yyyy")=
--TEXT($C54,"dd/mm/yyyy")),
[2]Main!$AL$2:$AL$5000,
"Không tìm thấy"
)
)</f>
        <v>Thành phố Hà Nội</v>
      </c>
      <c r="O54" s="10"/>
      <c r="P54" s="10"/>
      <c r="Q54" s="10"/>
      <c r="R54" s="10"/>
      <c r="S54" s="10"/>
      <c r="T54" s="3" t="s">
        <v>653</v>
      </c>
      <c r="U54" s="3"/>
      <c r="V54" s="3"/>
      <c r="W54" s="3" t="str">
        <f>IF(
    COUNTIFS(
        [1]Main!$F:$F,$B54,
        [1]Main!$N:$N,$C54
    )&gt;0,
    "Active",
    IF(
        COUNTIFS(
            [2]Main!$F:$F,$B54,
            [2]Main!$N:$N,$C54
        )&gt;0,
        "Inactive",
        "Không tìm thấy"
    )
)</f>
        <v>Active</v>
      </c>
      <c r="X54" s="15" t="str" cm="1">
        <f t="array" ref="X54">IFERROR(
_xlfn.XLOOKUP(
1,
(TRIM(CLEAN(SUBSTITUTE([2]Main!$F$2:$F$5000,CHAR(160)," ")))=
TRIM(CLEAN(SUBSTITUTE($B54,CHAR(160)," "))))
*
(--TEXT([2]Main!$N$2:$N$5000,"dd/mm/yyyy")=
--TEXT($C54,"dd/mm/yyyy")),
[2]Main!$AA$2:$AA$5000,
""
),
"")</f>
        <v/>
      </c>
      <c r="Y54" s="3"/>
      <c r="Z54" s="3"/>
      <c r="AA54" s="3"/>
      <c r="AB54" s="3"/>
    </row>
    <row r="55" spans="1:28" ht="38.25" customHeight="1" x14ac:dyDescent="0.25">
      <c r="A55" s="1">
        <v>54</v>
      </c>
      <c r="B55" s="2" t="s">
        <v>312</v>
      </c>
      <c r="C55" s="2" t="s">
        <v>313</v>
      </c>
      <c r="D55" s="2" t="s">
        <v>314</v>
      </c>
      <c r="E55" s="2" t="s">
        <v>271</v>
      </c>
      <c r="F55" s="2" t="s">
        <v>315</v>
      </c>
      <c r="G55" s="2" t="s">
        <v>266</v>
      </c>
      <c r="H55" s="1" t="s">
        <v>316</v>
      </c>
      <c r="I55" s="1" t="s">
        <v>14</v>
      </c>
      <c r="J55" s="2" t="s">
        <v>126</v>
      </c>
      <c r="K55" s="13" t="str" cm="1">
        <f t="array" ref="K55">IFERROR(
_xlfn.XLOOKUP(
1,
(TRIM(CLEAN(SUBSTITUTE([1]Main!$F$2:$F$5000,CHAR(160)," ")))=
TRIM(CLEAN(SUBSTITUTE($B55,CHAR(160)," "))))
*
(--TEXT([1]Main!$N$2:$N$5000,"dd/mm/yyyy")=
--TEXT($C55,"dd/mm/yyyy")),
[1]Main!$C$2:$C$5000
),
_xlfn.XLOOKUP(
1,
(TRIM(CLEAN(SUBSTITUTE([2]Main!$F$2:$F$5000,CHAR(160)," ")))=
TRIM(CLEAN(SUBSTITUTE($B55,CHAR(160)," "))))
*
(--TEXT([2]Main!$N$2:$N$5000,"dd/mm/yyyy")=
--TEXT($C55,"dd/mm/yyyy")),
[2]Main!$C$2:$C$5000,
"Không tìm thấy"
)
)</f>
        <v>034203014167</v>
      </c>
      <c r="L55" s="13" t="str" cm="1">
        <f t="array" ref="L55">IFERROR(
_xlfn.XLOOKUP(
1,
(TRIM(CLEAN(SUBSTITUTE([1]Main!$F$2:$F$5000,CHAR(160)," ")))=
TRIM(CLEAN(SUBSTITUTE($B55,CHAR(160)," "))))
*
(--TEXT([1]Main!$N$2:$N$5000,"dd/mm/yyyy")=
--TEXT($C55,"dd/mm/yyyy")),
[1]Main!$Q$2:$Q$5000
),
_xlfn.XLOOKUP(
1,
(TRIM(CLEAN(SUBSTITUTE([2]Main!$F$2:$F$5000,CHAR(160)," ")))=
TRIM(CLEAN(SUBSTITUTE($B55,CHAR(160)," "))))
*
(--TEXT([2]Main!$N$2:$N$5000,"dd/mm/yyyy")=
--TEXT($C55,"dd/mm/yyyy")),
[2]Main!$Q$2:$Q$5000,
"Không tìm thấy"
)
)</f>
        <v>Nam</v>
      </c>
      <c r="M55" s="13" t="str" cm="1">
        <f t="array" ref="M55">IFERROR(
_xlfn.XLOOKUP(
1,
(TRIM(CLEAN(SUBSTITUTE([1]Main!$F$2:$F$5000,CHAR(160)," ")))=
TRIM(CLEAN(SUBSTITUTE($B55,CHAR(160)," "))))
*
(--TEXT([1]Main!$N$2:$N$5000,"dd/mm/yyyy")=
--TEXT($C55,"dd/mm/yyyy")),
[1]Main!$S$2:$S$5000
),
_xlfn.XLOOKUP(
1,
(TRIM(CLEAN(SUBSTITUTE([2]Main!$F$2:$F$5000,CHAR(160)," ")))=
TRIM(CLEAN(SUBSTITUTE($B55,CHAR(160)," "))))
*
(--TEXT([2]Main!$N$2:$N$5000,"dd/mm/yyyy")=
--TEXT($C55,"dd/mm/yyyy")),
[2]Main!$S$2:$S$5000,
"Không tìm thấy"
)
)</f>
        <v>VN</v>
      </c>
      <c r="N55" s="13" cm="1">
        <f t="array" ref="N55">IFERROR(
_xlfn.XLOOKUP(
1,
(TRIM(CLEAN(SUBSTITUTE([1]Main!$F$2:$F$5000,CHAR(160)," ")))=
TRIM(CLEAN(SUBSTITUTE($B55,CHAR(160)," "))))
*
(--TEXT([1]Main!$N$2:$N$5000,"dd/mm/yyyy")=
--TEXT($C55,"dd/mm/yyyy")),
[1]Main!$AL$2:$AL$5000
),
_xlfn.XLOOKUP(
1,
(TRIM(CLEAN(SUBSTITUTE([2]Main!$F$2:$F$5000,CHAR(160)," ")))=
TRIM(CLEAN(SUBSTITUTE($B55,CHAR(160)," "))))
*
(--TEXT([2]Main!$N$2:$N$5000,"dd/mm/yyyy")=
--TEXT($C55,"dd/mm/yyyy")),
[2]Main!$AL$2:$AL$5000,
"Không tìm thấy"
)
)</f>
        <v>0</v>
      </c>
      <c r="O55" s="10"/>
      <c r="P55" s="10"/>
      <c r="Q55" s="10"/>
      <c r="R55" s="10"/>
      <c r="S55" s="10"/>
      <c r="T55" s="3" t="s">
        <v>653</v>
      </c>
      <c r="U55" s="3"/>
      <c r="V55" s="3"/>
      <c r="W55" s="3" t="str">
        <f>IF(
    COUNTIFS(
        [1]Main!$F:$F,$B55,
        [1]Main!$N:$N,$C55
    )&gt;0,
    "Active",
    IF(
        COUNTIFS(
            [2]Main!$F:$F,$B55,
            [2]Main!$N:$N,$C55
        )&gt;0,
        "Inactive",
        "Không tìm thấy"
    )
)</f>
        <v>Inactive</v>
      </c>
      <c r="X55" s="15" cm="1">
        <f t="array" ref="X55">IFERROR(
_xlfn.XLOOKUP(
1,
(TRIM(CLEAN(SUBSTITUTE([2]Main!$F$2:$F$5000,CHAR(160)," ")))=
TRIM(CLEAN(SUBSTITUTE($B55,CHAR(160)," "))))
*
(--TEXT([2]Main!$N$2:$N$5000,"dd/mm/yyyy")=
--TEXT($C55,"dd/mm/yyyy")),
[2]Main!$AA$2:$AA$5000,
""
),
"")</f>
        <v>46124</v>
      </c>
      <c r="Y55" s="3"/>
      <c r="Z55" s="3"/>
      <c r="AA55" s="3"/>
      <c r="AB55" s="3"/>
    </row>
    <row r="56" spans="1:28" ht="38.25" customHeight="1" x14ac:dyDescent="0.25">
      <c r="A56" s="1">
        <v>55</v>
      </c>
      <c r="B56" s="2" t="s">
        <v>317</v>
      </c>
      <c r="C56" s="2" t="s">
        <v>318</v>
      </c>
      <c r="D56" s="2" t="s">
        <v>319</v>
      </c>
      <c r="E56" s="2" t="s">
        <v>320</v>
      </c>
      <c r="F56" s="2" t="s">
        <v>131</v>
      </c>
      <c r="G56" s="2" t="s">
        <v>321</v>
      </c>
      <c r="H56" s="1" t="s">
        <v>322</v>
      </c>
      <c r="I56" s="1" t="s">
        <v>38</v>
      </c>
      <c r="J56" s="2" t="s">
        <v>15</v>
      </c>
      <c r="K56" s="13" t="str" cm="1">
        <f t="array" ref="K56">IFERROR(
_xlfn.XLOOKUP(
1,
(TRIM(CLEAN(SUBSTITUTE([1]Main!$F$2:$F$5000,CHAR(160)," ")))=
TRIM(CLEAN(SUBSTITUTE($B56,CHAR(160)," "))))
*
(--TEXT([1]Main!$N$2:$N$5000,"dd/mm/yyyy")=
--TEXT($C56,"dd/mm/yyyy")),
[1]Main!$C$2:$C$5000
),
_xlfn.XLOOKUP(
1,
(TRIM(CLEAN(SUBSTITUTE([2]Main!$F$2:$F$5000,CHAR(160)," ")))=
TRIM(CLEAN(SUBSTITUTE($B56,CHAR(160)," "))))
*
(--TEXT([2]Main!$N$2:$N$5000,"dd/mm/yyyy")=
--TEXT($C56,"dd/mm/yyyy")),
[2]Main!$C$2:$C$5000,
"Không tìm thấy"
)
)</f>
        <v>031303001125</v>
      </c>
      <c r="L56" s="13" t="str" cm="1">
        <f t="array" ref="L56">IFERROR(
_xlfn.XLOOKUP(
1,
(TRIM(CLEAN(SUBSTITUTE([1]Main!$F$2:$F$5000,CHAR(160)," ")))=
TRIM(CLEAN(SUBSTITUTE($B56,CHAR(160)," "))))
*
(--TEXT([1]Main!$N$2:$N$5000,"dd/mm/yyyy")=
--TEXT($C56,"dd/mm/yyyy")),
[1]Main!$Q$2:$Q$5000
),
_xlfn.XLOOKUP(
1,
(TRIM(CLEAN(SUBSTITUTE([2]Main!$F$2:$F$5000,CHAR(160)," ")))=
TRIM(CLEAN(SUBSTITUTE($B56,CHAR(160)," "))))
*
(--TEXT([2]Main!$N$2:$N$5000,"dd/mm/yyyy")=
--TEXT($C56,"dd/mm/yyyy")),
[2]Main!$Q$2:$Q$5000,
"Không tìm thấy"
)
)</f>
        <v>Nữ</v>
      </c>
      <c r="M56" s="13" t="str" cm="1">
        <f t="array" ref="M56">IFERROR(
_xlfn.XLOOKUP(
1,
(TRIM(CLEAN(SUBSTITUTE([1]Main!$F$2:$F$5000,CHAR(160)," ")))=
TRIM(CLEAN(SUBSTITUTE($B56,CHAR(160)," "))))
*
(--TEXT([1]Main!$N$2:$N$5000,"dd/mm/yyyy")=
--TEXT($C56,"dd/mm/yyyy")),
[1]Main!$S$2:$S$5000
),
_xlfn.XLOOKUP(
1,
(TRIM(CLEAN(SUBSTITUTE([2]Main!$F$2:$F$5000,CHAR(160)," ")))=
TRIM(CLEAN(SUBSTITUTE($B56,CHAR(160)," "))))
*
(--TEXT([2]Main!$N$2:$N$5000,"dd/mm/yyyy")=
--TEXT($C56,"dd/mm/yyyy")),
[2]Main!$S$2:$S$5000,
"Không tìm thấy"
)
)</f>
        <v>VN</v>
      </c>
      <c r="N56" s="13" t="str" cm="1">
        <f t="array" ref="N56">IFERROR(
_xlfn.XLOOKUP(
1,
(TRIM(CLEAN(SUBSTITUTE([1]Main!$F$2:$F$5000,CHAR(160)," ")))=
TRIM(CLEAN(SUBSTITUTE($B56,CHAR(160)," "))))
*
(--TEXT([1]Main!$N$2:$N$5000,"dd/mm/yyyy")=
--TEXT($C56,"dd/mm/yyyy")),
[1]Main!$AL$2:$AL$5000
),
_xlfn.XLOOKUP(
1,
(TRIM(CLEAN(SUBSTITUTE([2]Main!$F$2:$F$5000,CHAR(160)," ")))=
TRIM(CLEAN(SUBSTITUTE($B56,CHAR(160)," "))))
*
(--TEXT([2]Main!$N$2:$N$5000,"dd/mm/yyyy")=
--TEXT($C56,"dd/mm/yyyy")),
[2]Main!$AL$2:$AL$5000,
"Không tìm thấy"
)
)</f>
        <v>Thành phố Hà Nội</v>
      </c>
      <c r="O56" s="10"/>
      <c r="P56" s="10"/>
      <c r="Q56" s="10"/>
      <c r="R56" s="10"/>
      <c r="S56" s="10"/>
      <c r="T56" s="3" t="s">
        <v>653</v>
      </c>
      <c r="U56" s="3"/>
      <c r="V56" s="3"/>
      <c r="W56" s="3" t="str">
        <f>IF(
    COUNTIFS(
        [1]Main!$F:$F,$B56,
        [1]Main!$N:$N,$C56
    )&gt;0,
    "Active",
    IF(
        COUNTIFS(
            [2]Main!$F:$F,$B56,
            [2]Main!$N:$N,$C56
        )&gt;0,
        "Inactive",
        "Không tìm thấy"
    )
)</f>
        <v>Active</v>
      </c>
      <c r="X56" s="15" t="str" cm="1">
        <f t="array" ref="X56">IFERROR(
_xlfn.XLOOKUP(
1,
(TRIM(CLEAN(SUBSTITUTE([2]Main!$F$2:$F$5000,CHAR(160)," ")))=
TRIM(CLEAN(SUBSTITUTE($B56,CHAR(160)," "))))
*
(--TEXT([2]Main!$N$2:$N$5000,"dd/mm/yyyy")=
--TEXT($C56,"dd/mm/yyyy")),
[2]Main!$AA$2:$AA$5000,
""
),
"")</f>
        <v/>
      </c>
      <c r="Y56" s="3"/>
      <c r="Z56" s="3"/>
      <c r="AA56" s="3"/>
      <c r="AB56" s="3"/>
    </row>
    <row r="57" spans="1:28" ht="38.25" customHeight="1" x14ac:dyDescent="0.25">
      <c r="A57" s="1">
        <v>56</v>
      </c>
      <c r="B57" s="2" t="s">
        <v>323</v>
      </c>
      <c r="C57" s="2" t="s">
        <v>324</v>
      </c>
      <c r="D57" s="2" t="s">
        <v>325</v>
      </c>
      <c r="E57" s="2" t="s">
        <v>326</v>
      </c>
      <c r="F57" s="2" t="s">
        <v>35</v>
      </c>
      <c r="G57" s="2" t="s">
        <v>327</v>
      </c>
      <c r="H57" s="1" t="s">
        <v>322</v>
      </c>
      <c r="I57" s="1" t="s">
        <v>38</v>
      </c>
      <c r="J57" s="2" t="s">
        <v>39</v>
      </c>
      <c r="K57" s="13" t="str" cm="1">
        <f t="array" ref="K57">IFERROR(
_xlfn.XLOOKUP(
1,
(TRIM(CLEAN(SUBSTITUTE([1]Main!$F$2:$F$5000,CHAR(160)," ")))=
TRIM(CLEAN(SUBSTITUTE($B57,CHAR(160)," "))))
*
(--TEXT([1]Main!$N$2:$N$5000,"dd/mm/yyyy")=
--TEXT($C57,"dd/mm/yyyy")),
[1]Main!$C$2:$C$5000
),
_xlfn.XLOOKUP(
1,
(TRIM(CLEAN(SUBSTITUTE([2]Main!$F$2:$F$5000,CHAR(160)," ")))=
TRIM(CLEAN(SUBSTITUTE($B57,CHAR(160)," "))))
*
(--TEXT([2]Main!$N$2:$N$5000,"dd/mm/yyyy")=
--TEXT($C57,"dd/mm/yyyy")),
[2]Main!$C$2:$C$5000,
"Không tìm thấy"
)
)</f>
        <v>019203007535</v>
      </c>
      <c r="L57" s="13" t="str" cm="1">
        <f t="array" ref="L57">IFERROR(
_xlfn.XLOOKUP(
1,
(TRIM(CLEAN(SUBSTITUTE([1]Main!$F$2:$F$5000,CHAR(160)," ")))=
TRIM(CLEAN(SUBSTITUTE($B57,CHAR(160)," "))))
*
(--TEXT([1]Main!$N$2:$N$5000,"dd/mm/yyyy")=
--TEXT($C57,"dd/mm/yyyy")),
[1]Main!$Q$2:$Q$5000
),
_xlfn.XLOOKUP(
1,
(TRIM(CLEAN(SUBSTITUTE([2]Main!$F$2:$F$5000,CHAR(160)," ")))=
TRIM(CLEAN(SUBSTITUTE($B57,CHAR(160)," "))))
*
(--TEXT([2]Main!$N$2:$N$5000,"dd/mm/yyyy")=
--TEXT($C57,"dd/mm/yyyy")),
[2]Main!$Q$2:$Q$5000,
"Không tìm thấy"
)
)</f>
        <v>Nam</v>
      </c>
      <c r="M57" s="13" t="str" cm="1">
        <f t="array" ref="M57">IFERROR(
_xlfn.XLOOKUP(
1,
(TRIM(CLEAN(SUBSTITUTE([1]Main!$F$2:$F$5000,CHAR(160)," ")))=
TRIM(CLEAN(SUBSTITUTE($B57,CHAR(160)," "))))
*
(--TEXT([1]Main!$N$2:$N$5000,"dd/mm/yyyy")=
--TEXT($C57,"dd/mm/yyyy")),
[1]Main!$S$2:$S$5000
),
_xlfn.XLOOKUP(
1,
(TRIM(CLEAN(SUBSTITUTE([2]Main!$F$2:$F$5000,CHAR(160)," ")))=
TRIM(CLEAN(SUBSTITUTE($B57,CHAR(160)," "))))
*
(--TEXT([2]Main!$N$2:$N$5000,"dd/mm/yyyy")=
--TEXT($C57,"dd/mm/yyyy")),
[2]Main!$S$2:$S$5000,
"Không tìm thấy"
)
)</f>
        <v>VN</v>
      </c>
      <c r="N57" s="13" t="str" cm="1">
        <f t="array" ref="N57">IFERROR(
_xlfn.XLOOKUP(
1,
(TRIM(CLEAN(SUBSTITUTE([1]Main!$F$2:$F$5000,CHAR(160)," ")))=
TRIM(CLEAN(SUBSTITUTE($B57,CHAR(160)," "))))
*
(--TEXT([1]Main!$N$2:$N$5000,"dd/mm/yyyy")=
--TEXT($C57,"dd/mm/yyyy")),
[1]Main!$AL$2:$AL$5000
),
_xlfn.XLOOKUP(
1,
(TRIM(CLEAN(SUBSTITUTE([2]Main!$F$2:$F$5000,CHAR(160)," ")))=
TRIM(CLEAN(SUBSTITUTE($B57,CHAR(160)," "))))
*
(--TEXT([2]Main!$N$2:$N$5000,"dd/mm/yyyy")=
--TEXT($C57,"dd/mm/yyyy")),
[2]Main!$AL$2:$AL$5000,
"Không tìm thấy"
)
)</f>
        <v>Thành phố Hà Nội</v>
      </c>
      <c r="O57" s="10"/>
      <c r="P57" s="10"/>
      <c r="Q57" s="10"/>
      <c r="R57" s="10"/>
      <c r="S57" s="10"/>
      <c r="T57" s="3" t="s">
        <v>653</v>
      </c>
      <c r="U57" s="3"/>
      <c r="V57" s="3"/>
      <c r="W57" s="3" t="str">
        <f>IF(
    COUNTIFS(
        [1]Main!$F:$F,$B57,
        [1]Main!$N:$N,$C57
    )&gt;0,
    "Active",
    IF(
        COUNTIFS(
            [2]Main!$F:$F,$B57,
            [2]Main!$N:$N,$C57
        )&gt;0,
        "Inactive",
        "Không tìm thấy"
    )
)</f>
        <v>Active</v>
      </c>
      <c r="X57" s="15" t="str" cm="1">
        <f t="array" ref="X57">IFERROR(
_xlfn.XLOOKUP(
1,
(TRIM(CLEAN(SUBSTITUTE([2]Main!$F$2:$F$5000,CHAR(160)," ")))=
TRIM(CLEAN(SUBSTITUTE($B57,CHAR(160)," "))))
*
(--TEXT([2]Main!$N$2:$N$5000,"dd/mm/yyyy")=
--TEXT($C57,"dd/mm/yyyy")),
[2]Main!$AA$2:$AA$5000,
""
),
"")</f>
        <v/>
      </c>
      <c r="Y57" s="3"/>
      <c r="Z57" s="3"/>
      <c r="AA57" s="3"/>
      <c r="AB57" s="3"/>
    </row>
    <row r="58" spans="1:28" ht="25.5" customHeight="1" x14ac:dyDescent="0.25">
      <c r="A58" s="1">
        <v>57</v>
      </c>
      <c r="B58" s="2" t="s">
        <v>328</v>
      </c>
      <c r="C58" s="2" t="s">
        <v>329</v>
      </c>
      <c r="D58" s="2" t="s">
        <v>330</v>
      </c>
      <c r="E58" s="2" t="s">
        <v>331</v>
      </c>
      <c r="F58" s="2" t="s">
        <v>35</v>
      </c>
      <c r="G58" s="2" t="s">
        <v>36</v>
      </c>
      <c r="H58" s="1" t="s">
        <v>322</v>
      </c>
      <c r="I58" s="1" t="s">
        <v>38</v>
      </c>
      <c r="J58" s="2" t="s">
        <v>39</v>
      </c>
      <c r="K58" s="13" t="str" cm="1">
        <f t="array" ref="K58">IFERROR(
_xlfn.XLOOKUP(
1,
(TRIM(CLEAN(SUBSTITUTE([1]Main!$F$2:$F$5000,CHAR(160)," ")))=
TRIM(CLEAN(SUBSTITUTE($B58,CHAR(160)," "))))
*
(--TEXT([1]Main!$N$2:$N$5000,"dd/mm/yyyy")=
--TEXT($C58,"dd/mm/yyyy")),
[1]Main!$C$2:$C$5000
),
_xlfn.XLOOKUP(
1,
(TRIM(CLEAN(SUBSTITUTE([2]Main!$F$2:$F$5000,CHAR(160)," ")))=
TRIM(CLEAN(SUBSTITUTE($B58,CHAR(160)," "))))
*
(--TEXT([2]Main!$N$2:$N$5000,"dd/mm/yyyy")=
--TEXT($C58,"dd/mm/yyyy")),
[2]Main!$C$2:$C$5000,
"Không tìm thấy"
)
)</f>
        <v>033304003602</v>
      </c>
      <c r="L58" s="13" t="str" cm="1">
        <f t="array" ref="L58">IFERROR(
_xlfn.XLOOKUP(
1,
(TRIM(CLEAN(SUBSTITUTE([1]Main!$F$2:$F$5000,CHAR(160)," ")))=
TRIM(CLEAN(SUBSTITUTE($B58,CHAR(160)," "))))
*
(--TEXT([1]Main!$N$2:$N$5000,"dd/mm/yyyy")=
--TEXT($C58,"dd/mm/yyyy")),
[1]Main!$Q$2:$Q$5000
),
_xlfn.XLOOKUP(
1,
(TRIM(CLEAN(SUBSTITUTE([2]Main!$F$2:$F$5000,CHAR(160)," ")))=
TRIM(CLEAN(SUBSTITUTE($B58,CHAR(160)," "))))
*
(--TEXT([2]Main!$N$2:$N$5000,"dd/mm/yyyy")=
--TEXT($C58,"dd/mm/yyyy")),
[2]Main!$Q$2:$Q$5000,
"Không tìm thấy"
)
)</f>
        <v>Nữ</v>
      </c>
      <c r="M58" s="13" t="str" cm="1">
        <f t="array" ref="M58">IFERROR(
_xlfn.XLOOKUP(
1,
(TRIM(CLEAN(SUBSTITUTE([1]Main!$F$2:$F$5000,CHAR(160)," ")))=
TRIM(CLEAN(SUBSTITUTE($B58,CHAR(160)," "))))
*
(--TEXT([1]Main!$N$2:$N$5000,"dd/mm/yyyy")=
--TEXT($C58,"dd/mm/yyyy")),
[1]Main!$S$2:$S$5000
),
_xlfn.XLOOKUP(
1,
(TRIM(CLEAN(SUBSTITUTE([2]Main!$F$2:$F$5000,CHAR(160)," ")))=
TRIM(CLEAN(SUBSTITUTE($B58,CHAR(160)," "))))
*
(--TEXT([2]Main!$N$2:$N$5000,"dd/mm/yyyy")=
--TEXT($C58,"dd/mm/yyyy")),
[2]Main!$S$2:$S$5000,
"Không tìm thấy"
)
)</f>
        <v>VN</v>
      </c>
      <c r="N58" s="13" t="str" cm="1">
        <f t="array" ref="N58">IFERROR(
_xlfn.XLOOKUP(
1,
(TRIM(CLEAN(SUBSTITUTE([1]Main!$F$2:$F$5000,CHAR(160)," ")))=
TRIM(CLEAN(SUBSTITUTE($B58,CHAR(160)," "))))
*
(--TEXT([1]Main!$N$2:$N$5000,"dd/mm/yyyy")=
--TEXT($C58,"dd/mm/yyyy")),
[1]Main!$AL$2:$AL$5000
),
_xlfn.XLOOKUP(
1,
(TRIM(CLEAN(SUBSTITUTE([2]Main!$F$2:$F$5000,CHAR(160)," ")))=
TRIM(CLEAN(SUBSTITUTE($B58,CHAR(160)," "))))
*
(--TEXT([2]Main!$N$2:$N$5000,"dd/mm/yyyy")=
--TEXT($C58,"dd/mm/yyyy")),
[2]Main!$AL$2:$AL$5000,
"Không tìm thấy"
)
)</f>
        <v>Thành phố Hà Nội</v>
      </c>
      <c r="O58" s="10"/>
      <c r="P58" s="10"/>
      <c r="Q58" s="10"/>
      <c r="R58" s="10"/>
      <c r="S58" s="10"/>
      <c r="T58" s="3" t="s">
        <v>653</v>
      </c>
      <c r="U58" s="3"/>
      <c r="V58" s="3"/>
      <c r="W58" s="3" t="str">
        <f>IF(
    COUNTIFS(
        [1]Main!$F:$F,$B58,
        [1]Main!$N:$N,$C58
    )&gt;0,
    "Active",
    IF(
        COUNTIFS(
            [2]Main!$F:$F,$B58,
            [2]Main!$N:$N,$C58
        )&gt;0,
        "Inactive",
        "Không tìm thấy"
    )
)</f>
        <v>Active</v>
      </c>
      <c r="X58" s="15" t="str" cm="1">
        <f t="array" ref="X58">IFERROR(
_xlfn.XLOOKUP(
1,
(TRIM(CLEAN(SUBSTITUTE([2]Main!$F$2:$F$5000,CHAR(160)," ")))=
TRIM(CLEAN(SUBSTITUTE($B58,CHAR(160)," "))))
*
(--TEXT([2]Main!$N$2:$N$5000,"dd/mm/yyyy")=
--TEXT($C58,"dd/mm/yyyy")),
[2]Main!$AA$2:$AA$5000,
""
),
"")</f>
        <v/>
      </c>
      <c r="Y58" s="3"/>
      <c r="Z58" s="3"/>
      <c r="AA58" s="3"/>
      <c r="AB58" s="3"/>
    </row>
    <row r="59" spans="1:28" ht="38.25" customHeight="1" x14ac:dyDescent="0.25">
      <c r="A59" s="1">
        <v>58</v>
      </c>
      <c r="B59" s="2" t="s">
        <v>332</v>
      </c>
      <c r="C59" s="2" t="s">
        <v>333</v>
      </c>
      <c r="D59" s="2" t="s">
        <v>334</v>
      </c>
      <c r="E59" s="2" t="s">
        <v>53</v>
      </c>
      <c r="F59" s="2" t="s">
        <v>335</v>
      </c>
      <c r="G59" s="2" t="s">
        <v>336</v>
      </c>
      <c r="H59" s="1" t="s">
        <v>337</v>
      </c>
      <c r="I59" s="1" t="s">
        <v>14</v>
      </c>
      <c r="J59" s="2" t="s">
        <v>15</v>
      </c>
      <c r="K59" s="13" t="str" cm="1">
        <f t="array" ref="K59">IFERROR(
_xlfn.XLOOKUP(
1,
(TRIM(CLEAN(SUBSTITUTE([1]Main!$F$2:$F$5000,CHAR(160)," ")))=
TRIM(CLEAN(SUBSTITUTE($B59,CHAR(160)," "))))
*
(--TEXT([1]Main!$N$2:$N$5000,"dd/mm/yyyy")=
--TEXT($C59,"dd/mm/yyyy")),
[1]Main!$C$2:$C$5000
),
_xlfn.XLOOKUP(
1,
(TRIM(CLEAN(SUBSTITUTE([2]Main!$F$2:$F$5000,CHAR(160)," ")))=
TRIM(CLEAN(SUBSTITUTE($B59,CHAR(160)," "))))
*
(--TEXT([2]Main!$N$2:$N$5000,"dd/mm/yyyy")=
--TEXT($C59,"dd/mm/yyyy")),
[2]Main!$C$2:$C$5000,
"Không tìm thấy"
)
)</f>
        <v>038201002035</v>
      </c>
      <c r="L59" s="13" t="str" cm="1">
        <f t="array" ref="L59">IFERROR(
_xlfn.XLOOKUP(
1,
(TRIM(CLEAN(SUBSTITUTE([1]Main!$F$2:$F$5000,CHAR(160)," ")))=
TRIM(CLEAN(SUBSTITUTE($B59,CHAR(160)," "))))
*
(--TEXT([1]Main!$N$2:$N$5000,"dd/mm/yyyy")=
--TEXT($C59,"dd/mm/yyyy")),
[1]Main!$Q$2:$Q$5000
),
_xlfn.XLOOKUP(
1,
(TRIM(CLEAN(SUBSTITUTE([2]Main!$F$2:$F$5000,CHAR(160)," ")))=
TRIM(CLEAN(SUBSTITUTE($B59,CHAR(160)," "))))
*
(--TEXT([2]Main!$N$2:$N$5000,"dd/mm/yyyy")=
--TEXT($C59,"dd/mm/yyyy")),
[2]Main!$Q$2:$Q$5000,
"Không tìm thấy"
)
)</f>
        <v>Nam</v>
      </c>
      <c r="M59" s="13" t="str" cm="1">
        <f t="array" ref="M59">IFERROR(
_xlfn.XLOOKUP(
1,
(TRIM(CLEAN(SUBSTITUTE([1]Main!$F$2:$F$5000,CHAR(160)," ")))=
TRIM(CLEAN(SUBSTITUTE($B59,CHAR(160)," "))))
*
(--TEXT([1]Main!$N$2:$N$5000,"dd/mm/yyyy")=
--TEXT($C59,"dd/mm/yyyy")),
[1]Main!$S$2:$S$5000
),
_xlfn.XLOOKUP(
1,
(TRIM(CLEAN(SUBSTITUTE([2]Main!$F$2:$F$5000,CHAR(160)," ")))=
TRIM(CLEAN(SUBSTITUTE($B59,CHAR(160)," "))))
*
(--TEXT([2]Main!$N$2:$N$5000,"dd/mm/yyyy")=
--TEXT($C59,"dd/mm/yyyy")),
[2]Main!$S$2:$S$5000,
"Không tìm thấy"
)
)</f>
        <v>VN</v>
      </c>
      <c r="N59" s="13" t="str" cm="1">
        <f t="array" ref="N59">IFERROR(
_xlfn.XLOOKUP(
1,
(TRIM(CLEAN(SUBSTITUTE([1]Main!$F$2:$F$5000,CHAR(160)," ")))=
TRIM(CLEAN(SUBSTITUTE($B59,CHAR(160)," "))))
*
(--TEXT([1]Main!$N$2:$N$5000,"dd/mm/yyyy")=
--TEXT($C59,"dd/mm/yyyy")),
[1]Main!$AL$2:$AL$5000
),
_xlfn.XLOOKUP(
1,
(TRIM(CLEAN(SUBSTITUTE([2]Main!$F$2:$F$5000,CHAR(160)," ")))=
TRIM(CLEAN(SUBSTITUTE($B59,CHAR(160)," "))))
*
(--TEXT([2]Main!$N$2:$N$5000,"dd/mm/yyyy")=
--TEXT($C59,"dd/mm/yyyy")),
[2]Main!$AL$2:$AL$5000,
"Không tìm thấy"
)
)</f>
        <v>Thành phố Hà Nội</v>
      </c>
      <c r="O59" s="10"/>
      <c r="P59" s="10"/>
      <c r="Q59" s="10"/>
      <c r="R59" s="10"/>
      <c r="S59" s="10"/>
      <c r="T59" s="3" t="s">
        <v>653</v>
      </c>
      <c r="U59" s="3"/>
      <c r="V59" s="3"/>
      <c r="W59" s="3" t="str">
        <f>IF(
    COUNTIFS(
        [1]Main!$F:$F,$B59,
        [1]Main!$N:$N,$C59
    )&gt;0,
    "Active",
    IF(
        COUNTIFS(
            [2]Main!$F:$F,$B59,
            [2]Main!$N:$N,$C59
        )&gt;0,
        "Inactive",
        "Không tìm thấy"
    )
)</f>
        <v>Inactive</v>
      </c>
      <c r="X59" s="15" cm="1">
        <f t="array" ref="X59">IFERROR(
_xlfn.XLOOKUP(
1,
(TRIM(CLEAN(SUBSTITUTE([2]Main!$F$2:$F$5000,CHAR(160)," ")))=
TRIM(CLEAN(SUBSTITUTE($B59,CHAR(160)," "))))
*
(--TEXT([2]Main!$N$2:$N$5000,"dd/mm/yyyy")=
--TEXT($C59,"dd/mm/yyyy")),
[2]Main!$AA$2:$AA$5000,
""
),
"")</f>
        <v>46174</v>
      </c>
      <c r="Y59" s="3"/>
      <c r="Z59" s="3"/>
      <c r="AA59" s="3"/>
      <c r="AB59" s="3"/>
    </row>
    <row r="60" spans="1:28" ht="38.25" customHeight="1" x14ac:dyDescent="0.25">
      <c r="A60" s="1">
        <v>59</v>
      </c>
      <c r="B60" s="2" t="s">
        <v>338</v>
      </c>
      <c r="C60" s="2" t="s">
        <v>339</v>
      </c>
      <c r="D60" s="2" t="s">
        <v>340</v>
      </c>
      <c r="E60" s="2" t="s">
        <v>341</v>
      </c>
      <c r="F60" s="2" t="s">
        <v>342</v>
      </c>
      <c r="G60" s="2" t="s">
        <v>343</v>
      </c>
      <c r="H60" s="1" t="s">
        <v>344</v>
      </c>
      <c r="I60" s="1" t="s">
        <v>14</v>
      </c>
      <c r="J60" s="2" t="s">
        <v>15</v>
      </c>
      <c r="K60" s="13" t="str" cm="1">
        <f t="array" ref="K60">IFERROR(
_xlfn.XLOOKUP(
1,
(TRIM(CLEAN(SUBSTITUTE([1]Main!$F$2:$F$5000,CHAR(160)," ")))=
TRIM(CLEAN(SUBSTITUTE($B60,CHAR(160)," "))))
*
(--TEXT([1]Main!$N$2:$N$5000,"dd/mm/yyyy")=
--TEXT($C60,"dd/mm/yyyy")),
[1]Main!$C$2:$C$5000
),
_xlfn.XLOOKUP(
1,
(TRIM(CLEAN(SUBSTITUTE([2]Main!$F$2:$F$5000,CHAR(160)," ")))=
TRIM(CLEAN(SUBSTITUTE($B60,CHAR(160)," "))))
*
(--TEXT([2]Main!$N$2:$N$5000,"dd/mm/yyyy")=
--TEXT($C60,"dd/mm/yyyy")),
[2]Main!$C$2:$C$5000,
"Không tìm thấy"
)
)</f>
        <v>001301012794</v>
      </c>
      <c r="L60" s="13" t="str" cm="1">
        <f t="array" ref="L60">IFERROR(
_xlfn.XLOOKUP(
1,
(TRIM(CLEAN(SUBSTITUTE([1]Main!$F$2:$F$5000,CHAR(160)," ")))=
TRIM(CLEAN(SUBSTITUTE($B60,CHAR(160)," "))))
*
(--TEXT([1]Main!$N$2:$N$5000,"dd/mm/yyyy")=
--TEXT($C60,"dd/mm/yyyy")),
[1]Main!$Q$2:$Q$5000
),
_xlfn.XLOOKUP(
1,
(TRIM(CLEAN(SUBSTITUTE([2]Main!$F$2:$F$5000,CHAR(160)," ")))=
TRIM(CLEAN(SUBSTITUTE($B60,CHAR(160)," "))))
*
(--TEXT([2]Main!$N$2:$N$5000,"dd/mm/yyyy")=
--TEXT($C60,"dd/mm/yyyy")),
[2]Main!$Q$2:$Q$5000,
"Không tìm thấy"
)
)</f>
        <v>Nữ</v>
      </c>
      <c r="M60" s="13" t="str" cm="1">
        <f t="array" ref="M60">IFERROR(
_xlfn.XLOOKUP(
1,
(TRIM(CLEAN(SUBSTITUTE([1]Main!$F$2:$F$5000,CHAR(160)," ")))=
TRIM(CLEAN(SUBSTITUTE($B60,CHAR(160)," "))))
*
(--TEXT([1]Main!$N$2:$N$5000,"dd/mm/yyyy")=
--TEXT($C60,"dd/mm/yyyy")),
[1]Main!$S$2:$S$5000
),
_xlfn.XLOOKUP(
1,
(TRIM(CLEAN(SUBSTITUTE([2]Main!$F$2:$F$5000,CHAR(160)," ")))=
TRIM(CLEAN(SUBSTITUTE($B60,CHAR(160)," "))))
*
(--TEXT([2]Main!$N$2:$N$5000,"dd/mm/yyyy")=
--TEXT($C60,"dd/mm/yyyy")),
[2]Main!$S$2:$S$5000,
"Không tìm thấy"
)
)</f>
        <v>VN</v>
      </c>
      <c r="N60" s="13" t="str" cm="1">
        <f t="array" ref="N60">IFERROR(
_xlfn.XLOOKUP(
1,
(TRIM(CLEAN(SUBSTITUTE([1]Main!$F$2:$F$5000,CHAR(160)," ")))=
TRIM(CLEAN(SUBSTITUTE($B60,CHAR(160)," "))))
*
(--TEXT([1]Main!$N$2:$N$5000,"dd/mm/yyyy")=
--TEXT($C60,"dd/mm/yyyy")),
[1]Main!$AL$2:$AL$5000
),
_xlfn.XLOOKUP(
1,
(TRIM(CLEAN(SUBSTITUTE([2]Main!$F$2:$F$5000,CHAR(160)," ")))=
TRIM(CLEAN(SUBSTITUTE($B60,CHAR(160)," "))))
*
(--TEXT([2]Main!$N$2:$N$5000,"dd/mm/yyyy")=
--TEXT($C60,"dd/mm/yyyy")),
[2]Main!$AL$2:$AL$5000,
"Không tìm thấy"
)
)</f>
        <v>Thành phố Hà Nội</v>
      </c>
      <c r="O60" s="10"/>
      <c r="P60" s="10"/>
      <c r="Q60" s="10"/>
      <c r="R60" s="10"/>
      <c r="S60" s="10"/>
      <c r="T60" s="3" t="s">
        <v>653</v>
      </c>
      <c r="U60" s="3"/>
      <c r="V60" s="3"/>
      <c r="W60" s="3" t="str">
        <f>IF(
    COUNTIFS(
        [1]Main!$F:$F,$B60,
        [1]Main!$N:$N,$C60
    )&gt;0,
    "Active",
    IF(
        COUNTIFS(
            [2]Main!$F:$F,$B60,
            [2]Main!$N:$N,$C60
        )&gt;0,
        "Inactive",
        "Không tìm thấy"
    )
)</f>
        <v>Active</v>
      </c>
      <c r="X60" s="15" t="str" cm="1">
        <f t="array" ref="X60">IFERROR(
_xlfn.XLOOKUP(
1,
(TRIM(CLEAN(SUBSTITUTE([2]Main!$F$2:$F$5000,CHAR(160)," ")))=
TRIM(CLEAN(SUBSTITUTE($B60,CHAR(160)," "))))
*
(--TEXT([2]Main!$N$2:$N$5000,"dd/mm/yyyy")=
--TEXT($C60,"dd/mm/yyyy")),
[2]Main!$AA$2:$AA$5000,
""
),
"")</f>
        <v/>
      </c>
      <c r="Y60" s="3"/>
      <c r="Z60" s="3"/>
      <c r="AA60" s="3"/>
      <c r="AB60" s="3"/>
    </row>
    <row r="61" spans="1:28" ht="25.5" customHeight="1" x14ac:dyDescent="0.25">
      <c r="A61" s="1">
        <v>60</v>
      </c>
      <c r="B61" s="2" t="s">
        <v>345</v>
      </c>
      <c r="C61" s="2" t="s">
        <v>346</v>
      </c>
      <c r="D61" s="2" t="s">
        <v>347</v>
      </c>
      <c r="E61" s="2" t="s">
        <v>34</v>
      </c>
      <c r="F61" s="2" t="s">
        <v>47</v>
      </c>
      <c r="G61" s="2" t="s">
        <v>348</v>
      </c>
      <c r="H61" s="1" t="s">
        <v>344</v>
      </c>
      <c r="I61" s="1" t="s">
        <v>38</v>
      </c>
      <c r="J61" s="2" t="s">
        <v>126</v>
      </c>
      <c r="K61" s="13" t="str" cm="1">
        <f t="array" ref="K61">IFERROR(
_xlfn.XLOOKUP(
1,
(TRIM(CLEAN(SUBSTITUTE([1]Main!$F$2:$F$5000,CHAR(160)," ")))=
TRIM(CLEAN(SUBSTITUTE($B61,CHAR(160)," "))))
*
(--TEXT([1]Main!$N$2:$N$5000,"dd/mm/yyyy")=
--TEXT($C61,"dd/mm/yyyy")),
[1]Main!$C$2:$C$5000
),
_xlfn.XLOOKUP(
1,
(TRIM(CLEAN(SUBSTITUTE([2]Main!$F$2:$F$5000,CHAR(160)," ")))=
TRIM(CLEAN(SUBSTITUTE($B61,CHAR(160)," "))))
*
(--TEXT([2]Main!$N$2:$N$5000,"dd/mm/yyyy")=
--TEXT($C61,"dd/mm/yyyy")),
[2]Main!$C$2:$C$5000,
"Không tìm thấy"
)
)</f>
        <v>035203004056</v>
      </c>
      <c r="L61" s="13" t="str" cm="1">
        <f t="array" ref="L61">IFERROR(
_xlfn.XLOOKUP(
1,
(TRIM(CLEAN(SUBSTITUTE([1]Main!$F$2:$F$5000,CHAR(160)," ")))=
TRIM(CLEAN(SUBSTITUTE($B61,CHAR(160)," "))))
*
(--TEXT([1]Main!$N$2:$N$5000,"dd/mm/yyyy")=
--TEXT($C61,"dd/mm/yyyy")),
[1]Main!$Q$2:$Q$5000
),
_xlfn.XLOOKUP(
1,
(TRIM(CLEAN(SUBSTITUTE([2]Main!$F$2:$F$5000,CHAR(160)," ")))=
TRIM(CLEAN(SUBSTITUTE($B61,CHAR(160)," "))))
*
(--TEXT([2]Main!$N$2:$N$5000,"dd/mm/yyyy")=
--TEXT($C61,"dd/mm/yyyy")),
[2]Main!$Q$2:$Q$5000,
"Không tìm thấy"
)
)</f>
        <v>Nam</v>
      </c>
      <c r="M61" s="13" t="str" cm="1">
        <f t="array" ref="M61">IFERROR(
_xlfn.XLOOKUP(
1,
(TRIM(CLEAN(SUBSTITUTE([1]Main!$F$2:$F$5000,CHAR(160)," ")))=
TRIM(CLEAN(SUBSTITUTE($B61,CHAR(160)," "))))
*
(--TEXT([1]Main!$N$2:$N$5000,"dd/mm/yyyy")=
--TEXT($C61,"dd/mm/yyyy")),
[1]Main!$S$2:$S$5000
),
_xlfn.XLOOKUP(
1,
(TRIM(CLEAN(SUBSTITUTE([2]Main!$F$2:$F$5000,CHAR(160)," ")))=
TRIM(CLEAN(SUBSTITUTE($B61,CHAR(160)," "))))
*
(--TEXT([2]Main!$N$2:$N$5000,"dd/mm/yyyy")=
--TEXT($C61,"dd/mm/yyyy")),
[2]Main!$S$2:$S$5000,
"Không tìm thấy"
)
)</f>
        <v>VN</v>
      </c>
      <c r="N61" s="13" t="str" cm="1">
        <f t="array" ref="N61">IFERROR(
_xlfn.XLOOKUP(
1,
(TRIM(CLEAN(SUBSTITUTE([1]Main!$F$2:$F$5000,CHAR(160)," ")))=
TRIM(CLEAN(SUBSTITUTE($B61,CHAR(160)," "))))
*
(--TEXT([1]Main!$N$2:$N$5000,"dd/mm/yyyy")=
--TEXT($C61,"dd/mm/yyyy")),
[1]Main!$AL$2:$AL$5000
),
_xlfn.XLOOKUP(
1,
(TRIM(CLEAN(SUBSTITUTE([2]Main!$F$2:$F$5000,CHAR(160)," ")))=
TRIM(CLEAN(SUBSTITUTE($B61,CHAR(160)," "))))
*
(--TEXT([2]Main!$N$2:$N$5000,"dd/mm/yyyy")=
--TEXT($C61,"dd/mm/yyyy")),
[2]Main!$AL$2:$AL$5000,
"Không tìm thấy"
)
)</f>
        <v>Thành phố Hà Nội</v>
      </c>
      <c r="O61" s="10"/>
      <c r="P61" s="10"/>
      <c r="Q61" s="10"/>
      <c r="R61" s="10"/>
      <c r="S61" s="10"/>
      <c r="T61" s="3" t="s">
        <v>653</v>
      </c>
      <c r="U61" s="3"/>
      <c r="V61" s="3"/>
      <c r="W61" s="3" t="str">
        <f>IF(
    COUNTIFS(
        [1]Main!$F:$F,$B61,
        [1]Main!$N:$N,$C61
    )&gt;0,
    "Active",
    IF(
        COUNTIFS(
            [2]Main!$F:$F,$B61,
            [2]Main!$N:$N,$C61
        )&gt;0,
        "Inactive",
        "Không tìm thấy"
    )
)</f>
        <v>Active</v>
      </c>
      <c r="X61" s="15" t="str" cm="1">
        <f t="array" ref="X61">IFERROR(
_xlfn.XLOOKUP(
1,
(TRIM(CLEAN(SUBSTITUTE([2]Main!$F$2:$F$5000,CHAR(160)," ")))=
TRIM(CLEAN(SUBSTITUTE($B61,CHAR(160)," "))))
*
(--TEXT([2]Main!$N$2:$N$5000,"dd/mm/yyyy")=
--TEXT($C61,"dd/mm/yyyy")),
[2]Main!$AA$2:$AA$5000,
""
),
"")</f>
        <v/>
      </c>
      <c r="Y61" s="3"/>
      <c r="Z61" s="3"/>
      <c r="AA61" s="3"/>
      <c r="AB61" s="3"/>
    </row>
    <row r="62" spans="1:28" ht="25.5" customHeight="1" x14ac:dyDescent="0.25">
      <c r="A62" s="1">
        <v>61</v>
      </c>
      <c r="B62" s="2" t="s">
        <v>349</v>
      </c>
      <c r="C62" s="2" t="s">
        <v>350</v>
      </c>
      <c r="D62" s="2" t="s">
        <v>351</v>
      </c>
      <c r="E62" s="2" t="s">
        <v>352</v>
      </c>
      <c r="F62" s="2" t="s">
        <v>353</v>
      </c>
      <c r="G62" s="2" t="s">
        <v>240</v>
      </c>
      <c r="H62" s="1" t="s">
        <v>344</v>
      </c>
      <c r="I62" s="1" t="s">
        <v>14</v>
      </c>
      <c r="J62" s="2" t="s">
        <v>15</v>
      </c>
      <c r="K62" s="13" t="str" cm="1">
        <f t="array" ref="K62">IFERROR(
_xlfn.XLOOKUP(
1,
(TRIM(CLEAN(SUBSTITUTE([1]Main!$F$2:$F$5000,CHAR(160)," ")))=
TRIM(CLEAN(SUBSTITUTE($B62,CHAR(160)," "))))
*
(--TEXT([1]Main!$N$2:$N$5000,"dd/mm/yyyy")=
--TEXT($C62,"dd/mm/yyyy")),
[1]Main!$C$2:$C$5000
),
_xlfn.XLOOKUP(
1,
(TRIM(CLEAN(SUBSTITUTE([2]Main!$F$2:$F$5000,CHAR(160)," ")))=
TRIM(CLEAN(SUBSTITUTE($B62,CHAR(160)," "))))
*
(--TEXT([2]Main!$N$2:$N$5000,"dd/mm/yyyy")=
--TEXT($C62,"dd/mm/yyyy")),
[2]Main!$C$2:$C$5000,
"Không tìm thấy"
)
)</f>
        <v>001081022711</v>
      </c>
      <c r="L62" s="13" t="str" cm="1">
        <f t="array" ref="L62">IFERROR(
_xlfn.XLOOKUP(
1,
(TRIM(CLEAN(SUBSTITUTE([1]Main!$F$2:$F$5000,CHAR(160)," ")))=
TRIM(CLEAN(SUBSTITUTE($B62,CHAR(160)," "))))
*
(--TEXT([1]Main!$N$2:$N$5000,"dd/mm/yyyy")=
--TEXT($C62,"dd/mm/yyyy")),
[1]Main!$Q$2:$Q$5000
),
_xlfn.XLOOKUP(
1,
(TRIM(CLEAN(SUBSTITUTE([2]Main!$F$2:$F$5000,CHAR(160)," ")))=
TRIM(CLEAN(SUBSTITUTE($B62,CHAR(160)," "))))
*
(--TEXT([2]Main!$N$2:$N$5000,"dd/mm/yyyy")=
--TEXT($C62,"dd/mm/yyyy")),
[2]Main!$Q$2:$Q$5000,
"Không tìm thấy"
)
)</f>
        <v>Nam</v>
      </c>
      <c r="M62" s="13" t="str" cm="1">
        <f t="array" ref="M62">IFERROR(
_xlfn.XLOOKUP(
1,
(TRIM(CLEAN(SUBSTITUTE([1]Main!$F$2:$F$5000,CHAR(160)," ")))=
TRIM(CLEAN(SUBSTITUTE($B62,CHAR(160)," "))))
*
(--TEXT([1]Main!$N$2:$N$5000,"dd/mm/yyyy")=
--TEXT($C62,"dd/mm/yyyy")),
[1]Main!$S$2:$S$5000
),
_xlfn.XLOOKUP(
1,
(TRIM(CLEAN(SUBSTITUTE([2]Main!$F$2:$F$5000,CHAR(160)," ")))=
TRIM(CLEAN(SUBSTITUTE($B62,CHAR(160)," "))))
*
(--TEXT([2]Main!$N$2:$N$5000,"dd/mm/yyyy")=
--TEXT($C62,"dd/mm/yyyy")),
[2]Main!$S$2:$S$5000,
"Không tìm thấy"
)
)</f>
        <v>VN</v>
      </c>
      <c r="N62" s="13" t="str" cm="1">
        <f t="array" ref="N62">IFERROR(
_xlfn.XLOOKUP(
1,
(TRIM(CLEAN(SUBSTITUTE([1]Main!$F$2:$F$5000,CHAR(160)," ")))=
TRIM(CLEAN(SUBSTITUTE($B62,CHAR(160)," "))))
*
(--TEXT([1]Main!$N$2:$N$5000,"dd/mm/yyyy")=
--TEXT($C62,"dd/mm/yyyy")),
[1]Main!$AL$2:$AL$5000
),
_xlfn.XLOOKUP(
1,
(TRIM(CLEAN(SUBSTITUTE([2]Main!$F$2:$F$5000,CHAR(160)," ")))=
TRIM(CLEAN(SUBSTITUTE($B62,CHAR(160)," "))))
*
(--TEXT([2]Main!$N$2:$N$5000,"dd/mm/yyyy")=
--TEXT($C62,"dd/mm/yyyy")),
[2]Main!$AL$2:$AL$5000,
"Không tìm thấy"
)
)</f>
        <v>Thành phố Hà Nội</v>
      </c>
      <c r="O62" s="10"/>
      <c r="P62" s="10"/>
      <c r="Q62" s="10"/>
      <c r="R62" s="10"/>
      <c r="S62" s="10"/>
      <c r="T62" s="3" t="s">
        <v>653</v>
      </c>
      <c r="U62" s="3"/>
      <c r="V62" s="3"/>
      <c r="W62" s="3" t="str">
        <f>IF(
    COUNTIFS(
        [1]Main!$F:$F,$B62,
        [1]Main!$N:$N,$C62
    )&gt;0,
    "Active",
    IF(
        COUNTIFS(
            [2]Main!$F:$F,$B62,
            [2]Main!$N:$N,$C62
        )&gt;0,
        "Inactive",
        "Không tìm thấy"
    )
)</f>
        <v>Active</v>
      </c>
      <c r="X62" s="15" t="str" cm="1">
        <f t="array" ref="X62">IFERROR(
_xlfn.XLOOKUP(
1,
(TRIM(CLEAN(SUBSTITUTE([2]Main!$F$2:$F$5000,CHAR(160)," ")))=
TRIM(CLEAN(SUBSTITUTE($B62,CHAR(160)," "))))
*
(--TEXT([2]Main!$N$2:$N$5000,"dd/mm/yyyy")=
--TEXT($C62,"dd/mm/yyyy")),
[2]Main!$AA$2:$AA$5000,
""
),
"")</f>
        <v/>
      </c>
      <c r="Y62" s="3"/>
      <c r="Z62" s="3"/>
      <c r="AA62" s="3"/>
      <c r="AB62" s="3"/>
    </row>
    <row r="63" spans="1:28" ht="25.5" customHeight="1" x14ac:dyDescent="0.25">
      <c r="A63" s="1">
        <v>62</v>
      </c>
      <c r="B63" s="2" t="s">
        <v>354</v>
      </c>
      <c r="C63" s="2" t="s">
        <v>355</v>
      </c>
      <c r="D63" s="2" t="s">
        <v>356</v>
      </c>
      <c r="E63" s="2" t="s">
        <v>357</v>
      </c>
      <c r="F63" s="2" t="s">
        <v>358</v>
      </c>
      <c r="G63" s="2" t="s">
        <v>359</v>
      </c>
      <c r="H63" s="1" t="s">
        <v>360</v>
      </c>
      <c r="I63" s="1" t="s">
        <v>14</v>
      </c>
      <c r="J63" s="2" t="s">
        <v>15</v>
      </c>
      <c r="K63" s="13" t="str" cm="1">
        <f t="array" ref="K63">IFERROR(
_xlfn.XLOOKUP(
1,
(TRIM(CLEAN(SUBSTITUTE([1]Main!$F$2:$F$5000,CHAR(160)," ")))=
TRIM(CLEAN(SUBSTITUTE($B63,CHAR(160)," "))))
*
(--TEXT([1]Main!$N$2:$N$5000,"dd/mm/yyyy")=
--TEXT($C63,"dd/mm/yyyy")),
[1]Main!$C$2:$C$5000
),
_xlfn.XLOOKUP(
1,
(TRIM(CLEAN(SUBSTITUTE([2]Main!$F$2:$F$5000,CHAR(160)," ")))=
TRIM(CLEAN(SUBSTITUTE($B63,CHAR(160)," "))))
*
(--TEXT([2]Main!$N$2:$N$5000,"dd/mm/yyyy")=
--TEXT($C63,"dd/mm/yyyy")),
[2]Main!$C$2:$C$5000,
"Không tìm thấy"
)
)</f>
        <v>001187001691</v>
      </c>
      <c r="L63" s="13" t="str" cm="1">
        <f t="array" ref="L63">IFERROR(
_xlfn.XLOOKUP(
1,
(TRIM(CLEAN(SUBSTITUTE([1]Main!$F$2:$F$5000,CHAR(160)," ")))=
TRIM(CLEAN(SUBSTITUTE($B63,CHAR(160)," "))))
*
(--TEXT([1]Main!$N$2:$N$5000,"dd/mm/yyyy")=
--TEXT($C63,"dd/mm/yyyy")),
[1]Main!$Q$2:$Q$5000
),
_xlfn.XLOOKUP(
1,
(TRIM(CLEAN(SUBSTITUTE([2]Main!$F$2:$F$5000,CHAR(160)," ")))=
TRIM(CLEAN(SUBSTITUTE($B63,CHAR(160)," "))))
*
(--TEXT([2]Main!$N$2:$N$5000,"dd/mm/yyyy")=
--TEXT($C63,"dd/mm/yyyy")),
[2]Main!$Q$2:$Q$5000,
"Không tìm thấy"
)
)</f>
        <v>Nữ</v>
      </c>
      <c r="M63" s="13" t="str" cm="1">
        <f t="array" ref="M63">IFERROR(
_xlfn.XLOOKUP(
1,
(TRIM(CLEAN(SUBSTITUTE([1]Main!$F$2:$F$5000,CHAR(160)," ")))=
TRIM(CLEAN(SUBSTITUTE($B63,CHAR(160)," "))))
*
(--TEXT([1]Main!$N$2:$N$5000,"dd/mm/yyyy")=
--TEXT($C63,"dd/mm/yyyy")),
[1]Main!$S$2:$S$5000
),
_xlfn.XLOOKUP(
1,
(TRIM(CLEAN(SUBSTITUTE([2]Main!$F$2:$F$5000,CHAR(160)," ")))=
TRIM(CLEAN(SUBSTITUTE($B63,CHAR(160)," "))))
*
(--TEXT([2]Main!$N$2:$N$5000,"dd/mm/yyyy")=
--TEXT($C63,"dd/mm/yyyy")),
[2]Main!$S$2:$S$5000,
"Không tìm thấy"
)
)</f>
        <v>VN</v>
      </c>
      <c r="N63" s="13" t="str" cm="1">
        <f t="array" ref="N63">IFERROR(
_xlfn.XLOOKUP(
1,
(TRIM(CLEAN(SUBSTITUTE([1]Main!$F$2:$F$5000,CHAR(160)," ")))=
TRIM(CLEAN(SUBSTITUTE($B63,CHAR(160)," "))))
*
(--TEXT([1]Main!$N$2:$N$5000,"dd/mm/yyyy")=
--TEXT($C63,"dd/mm/yyyy")),
[1]Main!$AL$2:$AL$5000
),
_xlfn.XLOOKUP(
1,
(TRIM(CLEAN(SUBSTITUTE([2]Main!$F$2:$F$5000,CHAR(160)," ")))=
TRIM(CLEAN(SUBSTITUTE($B63,CHAR(160)," "))))
*
(--TEXT([2]Main!$N$2:$N$5000,"dd/mm/yyyy")=
--TEXT($C63,"dd/mm/yyyy")),
[2]Main!$AL$2:$AL$5000,
"Không tìm thấy"
)
)</f>
        <v>Thành phố Hà Nội</v>
      </c>
      <c r="O63" s="10"/>
      <c r="P63" s="10"/>
      <c r="Q63" s="10"/>
      <c r="R63" s="10"/>
      <c r="S63" s="10"/>
      <c r="T63" s="3" t="s">
        <v>653</v>
      </c>
      <c r="U63" s="3"/>
      <c r="V63" s="3"/>
      <c r="W63" s="3" t="str">
        <f>IF(
    COUNTIFS(
        [1]Main!$F:$F,$B63,
        [1]Main!$N:$N,$C63
    )&gt;0,
    "Active",
    IF(
        COUNTIFS(
            [2]Main!$F:$F,$B63,
            [2]Main!$N:$N,$C63
        )&gt;0,
        "Inactive",
        "Không tìm thấy"
    )
)</f>
        <v>Active</v>
      </c>
      <c r="X63" s="15" t="str" cm="1">
        <f t="array" ref="X63">IFERROR(
_xlfn.XLOOKUP(
1,
(TRIM(CLEAN(SUBSTITUTE([2]Main!$F$2:$F$5000,CHAR(160)," ")))=
TRIM(CLEAN(SUBSTITUTE($B63,CHAR(160)," "))))
*
(--TEXT([2]Main!$N$2:$N$5000,"dd/mm/yyyy")=
--TEXT($C63,"dd/mm/yyyy")),
[2]Main!$AA$2:$AA$5000,
""
),
"")</f>
        <v/>
      </c>
      <c r="Y63" s="3"/>
      <c r="Z63" s="3"/>
      <c r="AA63" s="3"/>
      <c r="AB63" s="3"/>
    </row>
    <row r="64" spans="1:28" ht="38.25" customHeight="1" x14ac:dyDescent="0.25">
      <c r="A64" s="1">
        <v>63</v>
      </c>
      <c r="B64" s="2" t="s">
        <v>361</v>
      </c>
      <c r="C64" s="2" t="s">
        <v>362</v>
      </c>
      <c r="D64" s="2" t="s">
        <v>363</v>
      </c>
      <c r="E64" s="2" t="s">
        <v>364</v>
      </c>
      <c r="F64" s="2" t="s">
        <v>365</v>
      </c>
      <c r="G64" s="2" t="s">
        <v>366</v>
      </c>
      <c r="H64" s="1" t="s">
        <v>360</v>
      </c>
      <c r="I64" s="1" t="s">
        <v>14</v>
      </c>
      <c r="J64" s="2" t="s">
        <v>15</v>
      </c>
      <c r="K64" s="13" t="str" cm="1">
        <f t="array" ref="K64">IFERROR(
_xlfn.XLOOKUP(
1,
(TRIM(CLEAN(SUBSTITUTE([1]Main!$F$2:$F$5000,CHAR(160)," ")))=
TRIM(CLEAN(SUBSTITUTE($B64,CHAR(160)," "))))
*
(--TEXT([1]Main!$N$2:$N$5000,"dd/mm/yyyy")=
--TEXT($C64,"dd/mm/yyyy")),
[1]Main!$C$2:$C$5000
),
_xlfn.XLOOKUP(
1,
(TRIM(CLEAN(SUBSTITUTE([2]Main!$F$2:$F$5000,CHAR(160)," ")))=
TRIM(CLEAN(SUBSTITUTE($B64,CHAR(160)," "))))
*
(--TEXT([2]Main!$N$2:$N$5000,"dd/mm/yyyy")=
--TEXT($C64,"dd/mm/yyyy")),
[2]Main!$C$2:$C$5000,
"Không tìm thấy"
)
)</f>
        <v>033099003878</v>
      </c>
      <c r="L64" s="13" t="str" cm="1">
        <f t="array" ref="L64">IFERROR(
_xlfn.XLOOKUP(
1,
(TRIM(CLEAN(SUBSTITUTE([1]Main!$F$2:$F$5000,CHAR(160)," ")))=
TRIM(CLEAN(SUBSTITUTE($B64,CHAR(160)," "))))
*
(--TEXT([1]Main!$N$2:$N$5000,"dd/mm/yyyy")=
--TEXT($C64,"dd/mm/yyyy")),
[1]Main!$Q$2:$Q$5000
),
_xlfn.XLOOKUP(
1,
(TRIM(CLEAN(SUBSTITUTE([2]Main!$F$2:$F$5000,CHAR(160)," ")))=
TRIM(CLEAN(SUBSTITUTE($B64,CHAR(160)," "))))
*
(--TEXT([2]Main!$N$2:$N$5000,"dd/mm/yyyy")=
--TEXT($C64,"dd/mm/yyyy")),
[2]Main!$Q$2:$Q$5000,
"Không tìm thấy"
)
)</f>
        <v>Nam</v>
      </c>
      <c r="M64" s="13" t="str" cm="1">
        <f t="array" ref="M64">IFERROR(
_xlfn.XLOOKUP(
1,
(TRIM(CLEAN(SUBSTITUTE([1]Main!$F$2:$F$5000,CHAR(160)," ")))=
TRIM(CLEAN(SUBSTITUTE($B64,CHAR(160)," "))))
*
(--TEXT([1]Main!$N$2:$N$5000,"dd/mm/yyyy")=
--TEXT($C64,"dd/mm/yyyy")),
[1]Main!$S$2:$S$5000
),
_xlfn.XLOOKUP(
1,
(TRIM(CLEAN(SUBSTITUTE([2]Main!$F$2:$F$5000,CHAR(160)," ")))=
TRIM(CLEAN(SUBSTITUTE($B64,CHAR(160)," "))))
*
(--TEXT([2]Main!$N$2:$N$5000,"dd/mm/yyyy")=
--TEXT($C64,"dd/mm/yyyy")),
[2]Main!$S$2:$S$5000,
"Không tìm thấy"
)
)</f>
        <v>VN</v>
      </c>
      <c r="N64" s="13" t="str" cm="1">
        <f t="array" ref="N64">IFERROR(
_xlfn.XLOOKUP(
1,
(TRIM(CLEAN(SUBSTITUTE([1]Main!$F$2:$F$5000,CHAR(160)," ")))=
TRIM(CLEAN(SUBSTITUTE($B64,CHAR(160)," "))))
*
(--TEXT([1]Main!$N$2:$N$5000,"dd/mm/yyyy")=
--TEXT($C64,"dd/mm/yyyy")),
[1]Main!$AL$2:$AL$5000
),
_xlfn.XLOOKUP(
1,
(TRIM(CLEAN(SUBSTITUTE([2]Main!$F$2:$F$5000,CHAR(160)," ")))=
TRIM(CLEAN(SUBSTITUTE($B64,CHAR(160)," "))))
*
(--TEXT([2]Main!$N$2:$N$5000,"dd/mm/yyyy")=
--TEXT($C64,"dd/mm/yyyy")),
[2]Main!$AL$2:$AL$5000,
"Không tìm thấy"
)
)</f>
        <v>Thành phố Hà Nội</v>
      </c>
      <c r="O64" s="10"/>
      <c r="P64" s="10"/>
      <c r="Q64" s="10"/>
      <c r="R64" s="10"/>
      <c r="S64" s="10"/>
      <c r="T64" s="3" t="s">
        <v>653</v>
      </c>
      <c r="U64" s="3"/>
      <c r="V64" s="3"/>
      <c r="W64" s="3" t="str">
        <f>IF(
    COUNTIFS(
        [1]Main!$F:$F,$B64,
        [1]Main!$N:$N,$C64
    )&gt;0,
    "Active",
    IF(
        COUNTIFS(
            [2]Main!$F:$F,$B64,
            [2]Main!$N:$N,$C64
        )&gt;0,
        "Inactive",
        "Không tìm thấy"
    )
)</f>
        <v>Active</v>
      </c>
      <c r="X64" s="15" t="str" cm="1">
        <f t="array" ref="X64">IFERROR(
_xlfn.XLOOKUP(
1,
(TRIM(CLEAN(SUBSTITUTE([2]Main!$F$2:$F$5000,CHAR(160)," ")))=
TRIM(CLEAN(SUBSTITUTE($B64,CHAR(160)," "))))
*
(--TEXT([2]Main!$N$2:$N$5000,"dd/mm/yyyy")=
--TEXT($C64,"dd/mm/yyyy")),
[2]Main!$AA$2:$AA$5000,
""
),
"")</f>
        <v/>
      </c>
      <c r="Y64" s="3"/>
      <c r="Z64" s="3"/>
      <c r="AA64" s="3"/>
      <c r="AB64" s="3"/>
    </row>
    <row r="65" spans="1:28" ht="25.5" customHeight="1" x14ac:dyDescent="0.25">
      <c r="A65" s="1">
        <v>64</v>
      </c>
      <c r="B65" s="2" t="s">
        <v>367</v>
      </c>
      <c r="C65" s="2" t="s">
        <v>368</v>
      </c>
      <c r="D65" s="2" t="s">
        <v>369</v>
      </c>
      <c r="E65" s="2" t="s">
        <v>160</v>
      </c>
      <c r="F65" s="2" t="s">
        <v>141</v>
      </c>
      <c r="G65" s="2" t="s">
        <v>99</v>
      </c>
      <c r="H65" s="1" t="s">
        <v>370</v>
      </c>
      <c r="I65" s="1" t="s">
        <v>14</v>
      </c>
      <c r="J65" s="2" t="s">
        <v>30</v>
      </c>
      <c r="K65" s="13" t="str" cm="1">
        <f t="array" ref="K65">IFERROR(
_xlfn.XLOOKUP(
1,
(TRIM(CLEAN(SUBSTITUTE([1]Main!$F$2:$F$5000,CHAR(160)," ")))=
TRIM(CLEAN(SUBSTITUTE($B65,CHAR(160)," "))))
*
(--TEXT([1]Main!$N$2:$N$5000,"dd/mm/yyyy")=
--TEXT($C65,"dd/mm/yyyy")),
[1]Main!$C$2:$C$5000
),
_xlfn.XLOOKUP(
1,
(TRIM(CLEAN(SUBSTITUTE([2]Main!$F$2:$F$5000,CHAR(160)," ")))=
TRIM(CLEAN(SUBSTITUTE($B65,CHAR(160)," "))))
*
(--TEXT([2]Main!$N$2:$N$5000,"dd/mm/yyyy")=
--TEXT($C65,"dd/mm/yyyy")),
[2]Main!$C$2:$C$5000,
"Không tìm thấy"
)
)</f>
        <v>017194000178</v>
      </c>
      <c r="L65" s="13" t="str" cm="1">
        <f t="array" ref="L65">IFERROR(
_xlfn.XLOOKUP(
1,
(TRIM(CLEAN(SUBSTITUTE([1]Main!$F$2:$F$5000,CHAR(160)," ")))=
TRIM(CLEAN(SUBSTITUTE($B65,CHAR(160)," "))))
*
(--TEXT([1]Main!$N$2:$N$5000,"dd/mm/yyyy")=
--TEXT($C65,"dd/mm/yyyy")),
[1]Main!$Q$2:$Q$5000
),
_xlfn.XLOOKUP(
1,
(TRIM(CLEAN(SUBSTITUTE([2]Main!$F$2:$F$5000,CHAR(160)," ")))=
TRIM(CLEAN(SUBSTITUTE($B65,CHAR(160)," "))))
*
(--TEXT([2]Main!$N$2:$N$5000,"dd/mm/yyyy")=
--TEXT($C65,"dd/mm/yyyy")),
[2]Main!$Q$2:$Q$5000,
"Không tìm thấy"
)
)</f>
        <v>Nữ</v>
      </c>
      <c r="M65" s="13" t="str" cm="1">
        <f t="array" ref="M65">IFERROR(
_xlfn.XLOOKUP(
1,
(TRIM(CLEAN(SUBSTITUTE([1]Main!$F$2:$F$5000,CHAR(160)," ")))=
TRIM(CLEAN(SUBSTITUTE($B65,CHAR(160)," "))))
*
(--TEXT([1]Main!$N$2:$N$5000,"dd/mm/yyyy")=
--TEXT($C65,"dd/mm/yyyy")),
[1]Main!$S$2:$S$5000
),
_xlfn.XLOOKUP(
1,
(TRIM(CLEAN(SUBSTITUTE([2]Main!$F$2:$F$5000,CHAR(160)," ")))=
TRIM(CLEAN(SUBSTITUTE($B65,CHAR(160)," "))))
*
(--TEXT([2]Main!$N$2:$N$5000,"dd/mm/yyyy")=
--TEXT($C65,"dd/mm/yyyy")),
[2]Main!$S$2:$S$5000,
"Không tìm thấy"
)
)</f>
        <v>VN</v>
      </c>
      <c r="N65" s="13" t="str" cm="1">
        <f t="array" ref="N65">IFERROR(
_xlfn.XLOOKUP(
1,
(TRIM(CLEAN(SUBSTITUTE([1]Main!$F$2:$F$5000,CHAR(160)," ")))=
TRIM(CLEAN(SUBSTITUTE($B65,CHAR(160)," "))))
*
(--TEXT([1]Main!$N$2:$N$5000,"dd/mm/yyyy")=
--TEXT($C65,"dd/mm/yyyy")),
[1]Main!$AL$2:$AL$5000
),
_xlfn.XLOOKUP(
1,
(TRIM(CLEAN(SUBSTITUTE([2]Main!$F$2:$F$5000,CHAR(160)," ")))=
TRIM(CLEAN(SUBSTITUTE($B65,CHAR(160)," "))))
*
(--TEXT([2]Main!$N$2:$N$5000,"dd/mm/yyyy")=
--TEXT($C65,"dd/mm/yyyy")),
[2]Main!$AL$2:$AL$5000,
"Không tìm thấy"
)
)</f>
        <v>Thành phố Hà Nội</v>
      </c>
      <c r="O65" s="10"/>
      <c r="P65" s="10"/>
      <c r="Q65" s="10"/>
      <c r="R65" s="10"/>
      <c r="S65" s="10"/>
      <c r="T65" s="3" t="s">
        <v>653</v>
      </c>
      <c r="U65" s="3"/>
      <c r="V65" s="3"/>
      <c r="W65" s="3" t="str">
        <f>IF(
    COUNTIFS(
        [1]Main!$F:$F,$B65,
        [1]Main!$N:$N,$C65
    )&gt;0,
    "Active",
    IF(
        COUNTIFS(
            [2]Main!$F:$F,$B65,
            [2]Main!$N:$N,$C65
        )&gt;0,
        "Inactive",
        "Không tìm thấy"
    )
)</f>
        <v>Inactive</v>
      </c>
      <c r="X65" s="15" cm="1">
        <f t="array" ref="X65">IFERROR(
_xlfn.XLOOKUP(
1,
(TRIM(CLEAN(SUBSTITUTE([2]Main!$F$2:$F$5000,CHAR(160)," ")))=
TRIM(CLEAN(SUBSTITUTE($B65,CHAR(160)," "))))
*
(--TEXT([2]Main!$N$2:$N$5000,"dd/mm/yyyy")=
--TEXT($C65,"dd/mm/yyyy")),
[2]Main!$AA$2:$AA$5000,
""
),
"")</f>
        <v>46204</v>
      </c>
      <c r="Y65" s="3"/>
      <c r="Z65" s="3"/>
      <c r="AA65" s="3"/>
      <c r="AB65" s="3"/>
    </row>
    <row r="66" spans="1:28" ht="38.25" customHeight="1" x14ac:dyDescent="0.25">
      <c r="A66" s="1">
        <v>65</v>
      </c>
      <c r="B66" s="2" t="s">
        <v>371</v>
      </c>
      <c r="C66" s="2" t="s">
        <v>84</v>
      </c>
      <c r="D66" s="2" t="s">
        <v>372</v>
      </c>
      <c r="E66" s="2" t="s">
        <v>373</v>
      </c>
      <c r="F66" s="2" t="s">
        <v>374</v>
      </c>
      <c r="G66" s="2" t="s">
        <v>290</v>
      </c>
      <c r="H66" s="1" t="s">
        <v>370</v>
      </c>
      <c r="I66" s="1" t="s">
        <v>14</v>
      </c>
      <c r="J66" s="2" t="s">
        <v>15</v>
      </c>
      <c r="K66" s="13" t="str" cm="1">
        <f t="array" ref="K66">IFERROR(
_xlfn.XLOOKUP(
1,
(TRIM(CLEAN(SUBSTITUTE([1]Main!$F$2:$F$5000,CHAR(160)," ")))=
TRIM(CLEAN(SUBSTITUTE($B66,CHAR(160)," "))))
*
(--TEXT([1]Main!$N$2:$N$5000,"dd/mm/yyyy")=
--TEXT($C66,"dd/mm/yyyy")),
[1]Main!$C$2:$C$5000
),
_xlfn.XLOOKUP(
1,
(TRIM(CLEAN(SUBSTITUTE([2]Main!$F$2:$F$5000,CHAR(160)," ")))=
TRIM(CLEAN(SUBSTITUTE($B66,CHAR(160)," "))))
*
(--TEXT([2]Main!$N$2:$N$5000,"dd/mm/yyyy")=
--TEXT($C66,"dd/mm/yyyy")),
[2]Main!$C$2:$C$5000,
"Không tìm thấy"
)
)</f>
        <v>033099009907</v>
      </c>
      <c r="L66" s="13" t="str" cm="1">
        <f t="array" ref="L66">IFERROR(
_xlfn.XLOOKUP(
1,
(TRIM(CLEAN(SUBSTITUTE([1]Main!$F$2:$F$5000,CHAR(160)," ")))=
TRIM(CLEAN(SUBSTITUTE($B66,CHAR(160)," "))))
*
(--TEXT([1]Main!$N$2:$N$5000,"dd/mm/yyyy")=
--TEXT($C66,"dd/mm/yyyy")),
[1]Main!$Q$2:$Q$5000
),
_xlfn.XLOOKUP(
1,
(TRIM(CLEAN(SUBSTITUTE([2]Main!$F$2:$F$5000,CHAR(160)," ")))=
TRIM(CLEAN(SUBSTITUTE($B66,CHAR(160)," "))))
*
(--TEXT([2]Main!$N$2:$N$5000,"dd/mm/yyyy")=
--TEXT($C66,"dd/mm/yyyy")),
[2]Main!$Q$2:$Q$5000,
"Không tìm thấy"
)
)</f>
        <v>Nam</v>
      </c>
      <c r="M66" s="13" t="str" cm="1">
        <f t="array" ref="M66">IFERROR(
_xlfn.XLOOKUP(
1,
(TRIM(CLEAN(SUBSTITUTE([1]Main!$F$2:$F$5000,CHAR(160)," ")))=
TRIM(CLEAN(SUBSTITUTE($B66,CHAR(160)," "))))
*
(--TEXT([1]Main!$N$2:$N$5000,"dd/mm/yyyy")=
--TEXT($C66,"dd/mm/yyyy")),
[1]Main!$S$2:$S$5000
),
_xlfn.XLOOKUP(
1,
(TRIM(CLEAN(SUBSTITUTE([2]Main!$F$2:$F$5000,CHAR(160)," ")))=
TRIM(CLEAN(SUBSTITUTE($B66,CHAR(160)," "))))
*
(--TEXT([2]Main!$N$2:$N$5000,"dd/mm/yyyy")=
--TEXT($C66,"dd/mm/yyyy")),
[2]Main!$S$2:$S$5000,
"Không tìm thấy"
)
)</f>
        <v>VN</v>
      </c>
      <c r="N66" s="13" t="str" cm="1">
        <f t="array" ref="N66">IFERROR(
_xlfn.XLOOKUP(
1,
(TRIM(CLEAN(SUBSTITUTE([1]Main!$F$2:$F$5000,CHAR(160)," ")))=
TRIM(CLEAN(SUBSTITUTE($B66,CHAR(160)," "))))
*
(--TEXT([1]Main!$N$2:$N$5000,"dd/mm/yyyy")=
--TEXT($C66,"dd/mm/yyyy")),
[1]Main!$AL$2:$AL$5000
),
_xlfn.XLOOKUP(
1,
(TRIM(CLEAN(SUBSTITUTE([2]Main!$F$2:$F$5000,CHAR(160)," ")))=
TRIM(CLEAN(SUBSTITUTE($B66,CHAR(160)," "))))
*
(--TEXT([2]Main!$N$2:$N$5000,"dd/mm/yyyy")=
--TEXT($C66,"dd/mm/yyyy")),
[2]Main!$AL$2:$AL$5000,
"Không tìm thấy"
)
)</f>
        <v>Thành phố Hà Nội</v>
      </c>
      <c r="O66" s="10"/>
      <c r="P66" s="10"/>
      <c r="Q66" s="10"/>
      <c r="R66" s="10"/>
      <c r="S66" s="10"/>
      <c r="T66" s="3" t="s">
        <v>653</v>
      </c>
      <c r="U66" s="3"/>
      <c r="V66" s="3"/>
      <c r="W66" s="3" t="str">
        <f>IF(
    COUNTIFS(
        [1]Main!$F:$F,$B66,
        [1]Main!$N:$N,$C66
    )&gt;0,
    "Active",
    IF(
        COUNTIFS(
            [2]Main!$F:$F,$B66,
            [2]Main!$N:$N,$C66
        )&gt;0,
        "Inactive",
        "Không tìm thấy"
    )
)</f>
        <v>Inactive</v>
      </c>
      <c r="X66" s="15" cm="1">
        <f t="array" ref="X66">IFERROR(
_xlfn.XLOOKUP(
1,
(TRIM(CLEAN(SUBSTITUTE([2]Main!$F$2:$F$5000,CHAR(160)," ")))=
TRIM(CLEAN(SUBSTITUTE($B66,CHAR(160)," "))))
*
(--TEXT([2]Main!$N$2:$N$5000,"dd/mm/yyyy")=
--TEXT($C66,"dd/mm/yyyy")),
[2]Main!$AA$2:$AA$5000,
""
),
"")</f>
        <v>46193</v>
      </c>
      <c r="Y66" s="3"/>
      <c r="Z66" s="3"/>
      <c r="AA66" s="3"/>
      <c r="AB66" s="3"/>
    </row>
    <row r="67" spans="1:28" ht="38.25" customHeight="1" x14ac:dyDescent="0.25">
      <c r="A67" s="1">
        <v>66</v>
      </c>
      <c r="B67" s="2" t="s">
        <v>375</v>
      </c>
      <c r="C67" s="2" t="s">
        <v>376</v>
      </c>
      <c r="D67" s="2" t="s">
        <v>377</v>
      </c>
      <c r="E67" s="2" t="s">
        <v>257</v>
      </c>
      <c r="F67" s="2" t="s">
        <v>252</v>
      </c>
      <c r="G67" s="2" t="s">
        <v>258</v>
      </c>
      <c r="H67" s="1" t="s">
        <v>378</v>
      </c>
      <c r="I67" s="1" t="s">
        <v>14</v>
      </c>
      <c r="J67" s="2" t="s">
        <v>15</v>
      </c>
      <c r="K67" s="13" t="str" cm="1">
        <f t="array" ref="K67">IFERROR(
_xlfn.XLOOKUP(
1,
(TRIM(CLEAN(SUBSTITUTE([1]Main!$F$2:$F$5000,CHAR(160)," ")))=
TRIM(CLEAN(SUBSTITUTE($B67,CHAR(160)," "))))
*
(--TEXT([1]Main!$N$2:$N$5000,"dd/mm/yyyy")=
--TEXT($C67,"dd/mm/yyyy")),
[1]Main!$C$2:$C$5000
),
_xlfn.XLOOKUP(
1,
(TRIM(CLEAN(SUBSTITUTE([2]Main!$F$2:$F$5000,CHAR(160)," ")))=
TRIM(CLEAN(SUBSTITUTE($B67,CHAR(160)," "))))
*
(--TEXT([2]Main!$N$2:$N$5000,"dd/mm/yyyy")=
--TEXT($C67,"dd/mm/yyyy")),
[2]Main!$C$2:$C$5000,
"Không tìm thấy"
)
)</f>
        <v>001194046526</v>
      </c>
      <c r="L67" s="13" t="str" cm="1">
        <f t="array" ref="L67">IFERROR(
_xlfn.XLOOKUP(
1,
(TRIM(CLEAN(SUBSTITUTE([1]Main!$F$2:$F$5000,CHAR(160)," ")))=
TRIM(CLEAN(SUBSTITUTE($B67,CHAR(160)," "))))
*
(--TEXT([1]Main!$N$2:$N$5000,"dd/mm/yyyy")=
--TEXT($C67,"dd/mm/yyyy")),
[1]Main!$Q$2:$Q$5000
),
_xlfn.XLOOKUP(
1,
(TRIM(CLEAN(SUBSTITUTE([2]Main!$F$2:$F$5000,CHAR(160)," ")))=
TRIM(CLEAN(SUBSTITUTE($B67,CHAR(160)," "))))
*
(--TEXT([2]Main!$N$2:$N$5000,"dd/mm/yyyy")=
--TEXT($C67,"dd/mm/yyyy")),
[2]Main!$Q$2:$Q$5000,
"Không tìm thấy"
)
)</f>
        <v>Nữ</v>
      </c>
      <c r="M67" s="13" t="str" cm="1">
        <f t="array" ref="M67">IFERROR(
_xlfn.XLOOKUP(
1,
(TRIM(CLEAN(SUBSTITUTE([1]Main!$F$2:$F$5000,CHAR(160)," ")))=
TRIM(CLEAN(SUBSTITUTE($B67,CHAR(160)," "))))
*
(--TEXT([1]Main!$N$2:$N$5000,"dd/mm/yyyy")=
--TEXT($C67,"dd/mm/yyyy")),
[1]Main!$S$2:$S$5000
),
_xlfn.XLOOKUP(
1,
(TRIM(CLEAN(SUBSTITUTE([2]Main!$F$2:$F$5000,CHAR(160)," ")))=
TRIM(CLEAN(SUBSTITUTE($B67,CHAR(160)," "))))
*
(--TEXT([2]Main!$N$2:$N$5000,"dd/mm/yyyy")=
--TEXT($C67,"dd/mm/yyyy")),
[2]Main!$S$2:$S$5000,
"Không tìm thấy"
)
)</f>
        <v>VN</v>
      </c>
      <c r="N67" s="13" t="str" cm="1">
        <f t="array" ref="N67">IFERROR(
_xlfn.XLOOKUP(
1,
(TRIM(CLEAN(SUBSTITUTE([1]Main!$F$2:$F$5000,CHAR(160)," ")))=
TRIM(CLEAN(SUBSTITUTE($B67,CHAR(160)," "))))
*
(--TEXT([1]Main!$N$2:$N$5000,"dd/mm/yyyy")=
--TEXT($C67,"dd/mm/yyyy")),
[1]Main!$AL$2:$AL$5000
),
_xlfn.XLOOKUP(
1,
(TRIM(CLEAN(SUBSTITUTE([2]Main!$F$2:$F$5000,CHAR(160)," ")))=
TRIM(CLEAN(SUBSTITUTE($B67,CHAR(160)," "))))
*
(--TEXT([2]Main!$N$2:$N$5000,"dd/mm/yyyy")=
--TEXT($C67,"dd/mm/yyyy")),
[2]Main!$AL$2:$AL$5000,
"Không tìm thấy"
)
)</f>
        <v>Thành phố Hà Nội</v>
      </c>
      <c r="O67" s="10"/>
      <c r="P67" s="10"/>
      <c r="Q67" s="10"/>
      <c r="R67" s="10"/>
      <c r="S67" s="10"/>
      <c r="T67" s="3" t="s">
        <v>653</v>
      </c>
      <c r="U67" s="3"/>
      <c r="V67" s="3"/>
      <c r="W67" s="3" t="str">
        <f>IF(
    COUNTIFS(
        [1]Main!$F:$F,$B67,
        [1]Main!$N:$N,$C67
    )&gt;0,
    "Active",
    IF(
        COUNTIFS(
            [2]Main!$F:$F,$B67,
            [2]Main!$N:$N,$C67
        )&gt;0,
        "Inactive",
        "Không tìm thấy"
    )
)</f>
        <v>Active</v>
      </c>
      <c r="X67" s="15" t="str" cm="1">
        <f t="array" ref="X67">IFERROR(
_xlfn.XLOOKUP(
1,
(TRIM(CLEAN(SUBSTITUTE([2]Main!$F$2:$F$5000,CHAR(160)," ")))=
TRIM(CLEAN(SUBSTITUTE($B67,CHAR(160)," "))))
*
(--TEXT([2]Main!$N$2:$N$5000,"dd/mm/yyyy")=
--TEXT($C67,"dd/mm/yyyy")),
[2]Main!$AA$2:$AA$5000,
""
),
"")</f>
        <v/>
      </c>
      <c r="Y67" s="3"/>
      <c r="Z67" s="3"/>
      <c r="AA67" s="3"/>
      <c r="AB67" s="3"/>
    </row>
    <row r="68" spans="1:28" ht="25.5" customHeight="1" x14ac:dyDescent="0.25">
      <c r="A68" s="1">
        <v>67</v>
      </c>
      <c r="B68" s="2" t="s">
        <v>379</v>
      </c>
      <c r="C68" s="2" t="s">
        <v>380</v>
      </c>
      <c r="D68" s="2" t="s">
        <v>381</v>
      </c>
      <c r="E68" s="2" t="s">
        <v>382</v>
      </c>
      <c r="F68" s="2" t="s">
        <v>35</v>
      </c>
      <c r="G68" s="2" t="s">
        <v>36</v>
      </c>
      <c r="H68" s="1" t="s">
        <v>383</v>
      </c>
      <c r="I68" s="1" t="s">
        <v>38</v>
      </c>
      <c r="J68" s="2" t="s">
        <v>39</v>
      </c>
      <c r="K68" s="13" t="str" cm="1">
        <f t="array" ref="K68">IFERROR(
_xlfn.XLOOKUP(
1,
(TRIM(CLEAN(SUBSTITUTE([1]Main!$F$2:$F$5000,CHAR(160)," ")))=
TRIM(CLEAN(SUBSTITUTE($B68,CHAR(160)," "))))
*
(--TEXT([1]Main!$N$2:$N$5000,"dd/mm/yyyy")=
--TEXT($C68,"dd/mm/yyyy")),
[1]Main!$C$2:$C$5000
),
_xlfn.XLOOKUP(
1,
(TRIM(CLEAN(SUBSTITUTE([2]Main!$F$2:$F$5000,CHAR(160)," ")))=
TRIM(CLEAN(SUBSTITUTE($B68,CHAR(160)," "))))
*
(--TEXT([2]Main!$N$2:$N$5000,"dd/mm/yyyy")=
--TEXT($C68,"dd/mm/yyyy")),
[2]Main!$C$2:$C$5000,
"Không tìm thấy"
)
)</f>
        <v>033184030690</v>
      </c>
      <c r="L68" s="13" t="str" cm="1">
        <f t="array" ref="L68">IFERROR(
_xlfn.XLOOKUP(
1,
(TRIM(CLEAN(SUBSTITUTE([1]Main!$F$2:$F$5000,CHAR(160)," ")))=
TRIM(CLEAN(SUBSTITUTE($B68,CHAR(160)," "))))
*
(--TEXT([1]Main!$N$2:$N$5000,"dd/mm/yyyy")=
--TEXT($C68,"dd/mm/yyyy")),
[1]Main!$Q$2:$Q$5000
),
_xlfn.XLOOKUP(
1,
(TRIM(CLEAN(SUBSTITUTE([2]Main!$F$2:$F$5000,CHAR(160)," ")))=
TRIM(CLEAN(SUBSTITUTE($B68,CHAR(160)," "))))
*
(--TEXT([2]Main!$N$2:$N$5000,"dd/mm/yyyy")=
--TEXT($C68,"dd/mm/yyyy")),
[2]Main!$Q$2:$Q$5000,
"Không tìm thấy"
)
)</f>
        <v>Nữ</v>
      </c>
      <c r="M68" s="13" t="str" cm="1">
        <f t="array" ref="M68">IFERROR(
_xlfn.XLOOKUP(
1,
(TRIM(CLEAN(SUBSTITUTE([1]Main!$F$2:$F$5000,CHAR(160)," ")))=
TRIM(CLEAN(SUBSTITUTE($B68,CHAR(160)," "))))
*
(--TEXT([1]Main!$N$2:$N$5000,"dd/mm/yyyy")=
--TEXT($C68,"dd/mm/yyyy")),
[1]Main!$S$2:$S$5000
),
_xlfn.XLOOKUP(
1,
(TRIM(CLEAN(SUBSTITUTE([2]Main!$F$2:$F$5000,CHAR(160)," ")))=
TRIM(CLEAN(SUBSTITUTE($B68,CHAR(160)," "))))
*
(--TEXT([2]Main!$N$2:$N$5000,"dd/mm/yyyy")=
--TEXT($C68,"dd/mm/yyyy")),
[2]Main!$S$2:$S$5000,
"Không tìm thấy"
)
)</f>
        <v>VN</v>
      </c>
      <c r="N68" s="13" t="str" cm="1">
        <f t="array" ref="N68">IFERROR(
_xlfn.XLOOKUP(
1,
(TRIM(CLEAN(SUBSTITUTE([1]Main!$F$2:$F$5000,CHAR(160)," ")))=
TRIM(CLEAN(SUBSTITUTE($B68,CHAR(160)," "))))
*
(--TEXT([1]Main!$N$2:$N$5000,"dd/mm/yyyy")=
--TEXT($C68,"dd/mm/yyyy")),
[1]Main!$AL$2:$AL$5000
),
_xlfn.XLOOKUP(
1,
(TRIM(CLEAN(SUBSTITUTE([2]Main!$F$2:$F$5000,CHAR(160)," ")))=
TRIM(CLEAN(SUBSTITUTE($B68,CHAR(160)," "))))
*
(--TEXT([2]Main!$N$2:$N$5000,"dd/mm/yyyy")=
--TEXT($C68,"dd/mm/yyyy")),
[2]Main!$AL$2:$AL$5000,
"Không tìm thấy"
)
)</f>
        <v>Thành phố Hà Nội</v>
      </c>
      <c r="O68" s="10"/>
      <c r="P68" s="10"/>
      <c r="Q68" s="10"/>
      <c r="R68" s="10"/>
      <c r="S68" s="10"/>
      <c r="T68" s="3" t="s">
        <v>653</v>
      </c>
      <c r="U68" s="3"/>
      <c r="V68" s="3"/>
      <c r="W68" s="3" t="str">
        <f>IF(
    COUNTIFS(
        [1]Main!$F:$F,$B68,
        [1]Main!$N:$N,$C68
    )&gt;0,
    "Active",
    IF(
        COUNTIFS(
            [2]Main!$F:$F,$B68,
            [2]Main!$N:$N,$C68
        )&gt;0,
        "Inactive",
        "Không tìm thấy"
    )
)</f>
        <v>Active</v>
      </c>
      <c r="X68" s="15" t="str" cm="1">
        <f t="array" ref="X68">IFERROR(
_xlfn.XLOOKUP(
1,
(TRIM(CLEAN(SUBSTITUTE([2]Main!$F$2:$F$5000,CHAR(160)," ")))=
TRIM(CLEAN(SUBSTITUTE($B68,CHAR(160)," "))))
*
(--TEXT([2]Main!$N$2:$N$5000,"dd/mm/yyyy")=
--TEXT($C68,"dd/mm/yyyy")),
[2]Main!$AA$2:$AA$5000,
""
),
"")</f>
        <v/>
      </c>
      <c r="Y68" s="3"/>
      <c r="Z68" s="3"/>
      <c r="AA68" s="3"/>
      <c r="AB68" s="3"/>
    </row>
    <row r="69" spans="1:28" ht="38.25" customHeight="1" x14ac:dyDescent="0.25">
      <c r="A69" s="1">
        <v>68</v>
      </c>
      <c r="B69" s="2" t="s">
        <v>384</v>
      </c>
      <c r="C69" s="2" t="s">
        <v>385</v>
      </c>
      <c r="D69" s="2" t="s">
        <v>386</v>
      </c>
      <c r="E69" s="2" t="s">
        <v>251</v>
      </c>
      <c r="F69" s="2" t="s">
        <v>252</v>
      </c>
      <c r="G69" s="2" t="s">
        <v>387</v>
      </c>
      <c r="H69" s="1" t="s">
        <v>383</v>
      </c>
      <c r="I69" s="1" t="s">
        <v>14</v>
      </c>
      <c r="J69" s="2" t="s">
        <v>15</v>
      </c>
      <c r="K69" s="13" t="str" cm="1">
        <f t="array" ref="K69">IFERROR(
_xlfn.XLOOKUP(
1,
(TRIM(CLEAN(SUBSTITUTE([1]Main!$F$2:$F$5000,CHAR(160)," ")))=
TRIM(CLEAN(SUBSTITUTE($B69,CHAR(160)," "))))
*
(--TEXT([1]Main!$N$2:$N$5000,"dd/mm/yyyy")=
--TEXT($C69,"dd/mm/yyyy")),
[1]Main!$C$2:$C$5000
),
_xlfn.XLOOKUP(
1,
(TRIM(CLEAN(SUBSTITUTE([2]Main!$F$2:$F$5000,CHAR(160)," ")))=
TRIM(CLEAN(SUBSTITUTE($B69,CHAR(160)," "))))
*
(--TEXT([2]Main!$N$2:$N$5000,"dd/mm/yyyy")=
--TEXT($C69,"dd/mm/yyyy")),
[2]Main!$C$2:$C$5000,
"Không tìm thấy"
)
)</f>
        <v>024194016076</v>
      </c>
      <c r="L69" s="13" t="str" cm="1">
        <f t="array" ref="L69">IFERROR(
_xlfn.XLOOKUP(
1,
(TRIM(CLEAN(SUBSTITUTE([1]Main!$F$2:$F$5000,CHAR(160)," ")))=
TRIM(CLEAN(SUBSTITUTE($B69,CHAR(160)," "))))
*
(--TEXT([1]Main!$N$2:$N$5000,"dd/mm/yyyy")=
--TEXT($C69,"dd/mm/yyyy")),
[1]Main!$Q$2:$Q$5000
),
_xlfn.XLOOKUP(
1,
(TRIM(CLEAN(SUBSTITUTE([2]Main!$F$2:$F$5000,CHAR(160)," ")))=
TRIM(CLEAN(SUBSTITUTE($B69,CHAR(160)," "))))
*
(--TEXT([2]Main!$N$2:$N$5000,"dd/mm/yyyy")=
--TEXT($C69,"dd/mm/yyyy")),
[2]Main!$Q$2:$Q$5000,
"Không tìm thấy"
)
)</f>
        <v>Nữ</v>
      </c>
      <c r="M69" s="13" t="str" cm="1">
        <f t="array" ref="M69">IFERROR(
_xlfn.XLOOKUP(
1,
(TRIM(CLEAN(SUBSTITUTE([1]Main!$F$2:$F$5000,CHAR(160)," ")))=
TRIM(CLEAN(SUBSTITUTE($B69,CHAR(160)," "))))
*
(--TEXT([1]Main!$N$2:$N$5000,"dd/mm/yyyy")=
--TEXT($C69,"dd/mm/yyyy")),
[1]Main!$S$2:$S$5000
),
_xlfn.XLOOKUP(
1,
(TRIM(CLEAN(SUBSTITUTE([2]Main!$F$2:$F$5000,CHAR(160)," ")))=
TRIM(CLEAN(SUBSTITUTE($B69,CHAR(160)," "))))
*
(--TEXT([2]Main!$N$2:$N$5000,"dd/mm/yyyy")=
--TEXT($C69,"dd/mm/yyyy")),
[2]Main!$S$2:$S$5000,
"Không tìm thấy"
)
)</f>
        <v>VN</v>
      </c>
      <c r="N69" s="13" t="str" cm="1">
        <f t="array" ref="N69">IFERROR(
_xlfn.XLOOKUP(
1,
(TRIM(CLEAN(SUBSTITUTE([1]Main!$F$2:$F$5000,CHAR(160)," ")))=
TRIM(CLEAN(SUBSTITUTE($B69,CHAR(160)," "))))
*
(--TEXT([1]Main!$N$2:$N$5000,"dd/mm/yyyy")=
--TEXT($C69,"dd/mm/yyyy")),
[1]Main!$AL$2:$AL$5000
),
_xlfn.XLOOKUP(
1,
(TRIM(CLEAN(SUBSTITUTE([2]Main!$F$2:$F$5000,CHAR(160)," ")))=
TRIM(CLEAN(SUBSTITUTE($B69,CHAR(160)," "))))
*
(--TEXT([2]Main!$N$2:$N$5000,"dd/mm/yyyy")=
--TEXT($C69,"dd/mm/yyyy")),
[2]Main!$AL$2:$AL$5000,
"Không tìm thấy"
)
)</f>
        <v>Thành phố Hà Nội</v>
      </c>
      <c r="O69" s="10"/>
      <c r="P69" s="10"/>
      <c r="Q69" s="10"/>
      <c r="R69" s="10"/>
      <c r="S69" s="10"/>
      <c r="T69" s="3" t="s">
        <v>653</v>
      </c>
      <c r="U69" s="3"/>
      <c r="V69" s="3"/>
      <c r="W69" s="3" t="str">
        <f>IF(
    COUNTIFS(
        [1]Main!$F:$F,$B69,
        [1]Main!$N:$N,$C69
    )&gt;0,
    "Active",
    IF(
        COUNTIFS(
            [2]Main!$F:$F,$B69,
            [2]Main!$N:$N,$C69
        )&gt;0,
        "Inactive",
        "Không tìm thấy"
    )
)</f>
        <v>Active</v>
      </c>
      <c r="X69" s="15" t="str" cm="1">
        <f t="array" ref="X69">IFERROR(
_xlfn.XLOOKUP(
1,
(TRIM(CLEAN(SUBSTITUTE([2]Main!$F$2:$F$5000,CHAR(160)," ")))=
TRIM(CLEAN(SUBSTITUTE($B69,CHAR(160)," "))))
*
(--TEXT([2]Main!$N$2:$N$5000,"dd/mm/yyyy")=
--TEXT($C69,"dd/mm/yyyy")),
[2]Main!$AA$2:$AA$5000,
""
),
"")</f>
        <v/>
      </c>
      <c r="Y69" s="3"/>
      <c r="Z69" s="3"/>
      <c r="AA69" s="3"/>
      <c r="AB69" s="3"/>
    </row>
    <row r="70" spans="1:28" ht="25.5" customHeight="1" x14ac:dyDescent="0.25">
      <c r="A70" s="1">
        <v>69</v>
      </c>
      <c r="B70" s="2" t="s">
        <v>388</v>
      </c>
      <c r="C70" s="2" t="s">
        <v>389</v>
      </c>
      <c r="D70" s="2" t="s">
        <v>390</v>
      </c>
      <c r="E70" s="2" t="s">
        <v>251</v>
      </c>
      <c r="F70" s="2" t="s">
        <v>252</v>
      </c>
      <c r="G70" s="2" t="s">
        <v>258</v>
      </c>
      <c r="H70" s="1" t="s">
        <v>383</v>
      </c>
      <c r="I70" s="1" t="s">
        <v>14</v>
      </c>
      <c r="J70" s="2" t="s">
        <v>15</v>
      </c>
      <c r="K70" s="13" t="str" cm="1">
        <f t="array" ref="K70">IFERROR(
_xlfn.XLOOKUP(
1,
(TRIM(CLEAN(SUBSTITUTE([1]Main!$F$2:$F$5000,CHAR(160)," ")))=
TRIM(CLEAN(SUBSTITUTE($B70,CHAR(160)," "))))
*
(--TEXT([1]Main!$N$2:$N$5000,"dd/mm/yyyy")=
--TEXT($C70,"dd/mm/yyyy")),
[1]Main!$C$2:$C$5000
),
_xlfn.XLOOKUP(
1,
(TRIM(CLEAN(SUBSTITUTE([2]Main!$F$2:$F$5000,CHAR(160)," ")))=
TRIM(CLEAN(SUBSTITUTE($B70,CHAR(160)," "))))
*
(--TEXT([2]Main!$N$2:$N$5000,"dd/mm/yyyy")=
--TEXT($C70,"dd/mm/yyyy")),
[2]Main!$C$2:$C$5000,
"Không tìm thấy"
)
)</f>
        <v>001192022855</v>
      </c>
      <c r="L70" s="13" t="str" cm="1">
        <f t="array" ref="L70">IFERROR(
_xlfn.XLOOKUP(
1,
(TRIM(CLEAN(SUBSTITUTE([1]Main!$F$2:$F$5000,CHAR(160)," ")))=
TRIM(CLEAN(SUBSTITUTE($B70,CHAR(160)," "))))
*
(--TEXT([1]Main!$N$2:$N$5000,"dd/mm/yyyy")=
--TEXT($C70,"dd/mm/yyyy")),
[1]Main!$Q$2:$Q$5000
),
_xlfn.XLOOKUP(
1,
(TRIM(CLEAN(SUBSTITUTE([2]Main!$F$2:$F$5000,CHAR(160)," ")))=
TRIM(CLEAN(SUBSTITUTE($B70,CHAR(160)," "))))
*
(--TEXT([2]Main!$N$2:$N$5000,"dd/mm/yyyy")=
--TEXT($C70,"dd/mm/yyyy")),
[2]Main!$Q$2:$Q$5000,
"Không tìm thấy"
)
)</f>
        <v>Nữ</v>
      </c>
      <c r="M70" s="13" t="str" cm="1">
        <f t="array" ref="M70">IFERROR(
_xlfn.XLOOKUP(
1,
(TRIM(CLEAN(SUBSTITUTE([1]Main!$F$2:$F$5000,CHAR(160)," ")))=
TRIM(CLEAN(SUBSTITUTE($B70,CHAR(160)," "))))
*
(--TEXT([1]Main!$N$2:$N$5000,"dd/mm/yyyy")=
--TEXT($C70,"dd/mm/yyyy")),
[1]Main!$S$2:$S$5000
),
_xlfn.XLOOKUP(
1,
(TRIM(CLEAN(SUBSTITUTE([2]Main!$F$2:$F$5000,CHAR(160)," ")))=
TRIM(CLEAN(SUBSTITUTE($B70,CHAR(160)," "))))
*
(--TEXT([2]Main!$N$2:$N$5000,"dd/mm/yyyy")=
--TEXT($C70,"dd/mm/yyyy")),
[2]Main!$S$2:$S$5000,
"Không tìm thấy"
)
)</f>
        <v>VN</v>
      </c>
      <c r="N70" s="13" t="str" cm="1">
        <f t="array" ref="N70">IFERROR(
_xlfn.XLOOKUP(
1,
(TRIM(CLEAN(SUBSTITUTE([1]Main!$F$2:$F$5000,CHAR(160)," ")))=
TRIM(CLEAN(SUBSTITUTE($B70,CHAR(160)," "))))
*
(--TEXT([1]Main!$N$2:$N$5000,"dd/mm/yyyy")=
--TEXT($C70,"dd/mm/yyyy")),
[1]Main!$AL$2:$AL$5000
),
_xlfn.XLOOKUP(
1,
(TRIM(CLEAN(SUBSTITUTE([2]Main!$F$2:$F$5000,CHAR(160)," ")))=
TRIM(CLEAN(SUBSTITUTE($B70,CHAR(160)," "))))
*
(--TEXT([2]Main!$N$2:$N$5000,"dd/mm/yyyy")=
--TEXT($C70,"dd/mm/yyyy")),
[2]Main!$AL$2:$AL$5000,
"Không tìm thấy"
)
)</f>
        <v>Thành phố Hà Nội</v>
      </c>
      <c r="O70" s="10"/>
      <c r="P70" s="10"/>
      <c r="Q70" s="10"/>
      <c r="R70" s="10"/>
      <c r="S70" s="10"/>
      <c r="T70" s="3" t="s">
        <v>653</v>
      </c>
      <c r="U70" s="3"/>
      <c r="V70" s="3"/>
      <c r="W70" s="3" t="str">
        <f>IF(
    COUNTIFS(
        [1]Main!$F:$F,$B70,
        [1]Main!$N:$N,$C70
    )&gt;0,
    "Active",
    IF(
        COUNTIFS(
            [2]Main!$F:$F,$B70,
            [2]Main!$N:$N,$C70
        )&gt;0,
        "Inactive",
        "Không tìm thấy"
    )
)</f>
        <v>Inactive</v>
      </c>
      <c r="X70" s="15" cm="1">
        <f t="array" ref="X70">IFERROR(
_xlfn.XLOOKUP(
1,
(TRIM(CLEAN(SUBSTITUTE([2]Main!$F$2:$F$5000,CHAR(160)," ")))=
TRIM(CLEAN(SUBSTITUTE($B70,CHAR(160)," "))))
*
(--TEXT([2]Main!$N$2:$N$5000,"dd/mm/yyyy")=
--TEXT($C70,"dd/mm/yyyy")),
[2]Main!$AA$2:$AA$5000,
""
),
"")</f>
        <v>46200</v>
      </c>
      <c r="Y70" s="3"/>
      <c r="Z70" s="3"/>
      <c r="AA70" s="3"/>
      <c r="AB70" s="3"/>
    </row>
    <row r="71" spans="1:28" ht="25.5" customHeight="1" x14ac:dyDescent="0.25">
      <c r="A71" s="1">
        <v>70</v>
      </c>
      <c r="B71" s="2" t="s">
        <v>391</v>
      </c>
      <c r="C71" s="2" t="s">
        <v>392</v>
      </c>
      <c r="D71" s="2" t="s">
        <v>393</v>
      </c>
      <c r="E71" s="2" t="s">
        <v>251</v>
      </c>
      <c r="F71" s="2" t="s">
        <v>394</v>
      </c>
      <c r="G71" s="2" t="s">
        <v>343</v>
      </c>
      <c r="H71" s="1" t="s">
        <v>383</v>
      </c>
      <c r="I71" s="1" t="s">
        <v>14</v>
      </c>
      <c r="J71" s="2" t="s">
        <v>15</v>
      </c>
      <c r="K71" s="13" t="str" cm="1">
        <f t="array" ref="K71">IFERROR(
_xlfn.XLOOKUP(
1,
(TRIM(CLEAN(SUBSTITUTE([1]Main!$F$2:$F$5000,CHAR(160)," ")))=
TRIM(CLEAN(SUBSTITUTE($B71,CHAR(160)," "))))
*
(--TEXT([1]Main!$N$2:$N$5000,"dd/mm/yyyy")=
--TEXT($C71,"dd/mm/yyyy")),
[1]Main!$C$2:$C$5000
),
_xlfn.XLOOKUP(
1,
(TRIM(CLEAN(SUBSTITUTE([2]Main!$F$2:$F$5000,CHAR(160)," ")))=
TRIM(CLEAN(SUBSTITUTE($B71,CHAR(160)," "))))
*
(--TEXT([2]Main!$N$2:$N$5000,"dd/mm/yyyy")=
--TEXT($C71,"dd/mm/yyyy")),
[2]Main!$C$2:$C$5000,
"Không tìm thấy"
)
)</f>
        <v>8647166889</v>
      </c>
      <c r="L71" s="13" t="str" cm="1">
        <f t="array" ref="L71">IFERROR(
_xlfn.XLOOKUP(
1,
(TRIM(CLEAN(SUBSTITUTE([1]Main!$F$2:$F$5000,CHAR(160)," ")))=
TRIM(CLEAN(SUBSTITUTE($B71,CHAR(160)," "))))
*
(--TEXT([1]Main!$N$2:$N$5000,"dd/mm/yyyy")=
--TEXT($C71,"dd/mm/yyyy")),
[1]Main!$Q$2:$Q$5000
),
_xlfn.XLOOKUP(
1,
(TRIM(CLEAN(SUBSTITUTE([2]Main!$F$2:$F$5000,CHAR(160)," ")))=
TRIM(CLEAN(SUBSTITUTE($B71,CHAR(160)," "))))
*
(--TEXT([2]Main!$N$2:$N$5000,"dd/mm/yyyy")=
--TEXT($C71,"dd/mm/yyyy")),
[2]Main!$Q$2:$Q$5000,
"Không tìm thấy"
)
)</f>
        <v>Nữ</v>
      </c>
      <c r="M71" s="13" t="str" cm="1">
        <f t="array" ref="M71">IFERROR(
_xlfn.XLOOKUP(
1,
(TRIM(CLEAN(SUBSTITUTE([1]Main!$F$2:$F$5000,CHAR(160)," ")))=
TRIM(CLEAN(SUBSTITUTE($B71,CHAR(160)," "))))
*
(--TEXT([1]Main!$N$2:$N$5000,"dd/mm/yyyy")=
--TEXT($C71,"dd/mm/yyyy")),
[1]Main!$S$2:$S$5000
),
_xlfn.XLOOKUP(
1,
(TRIM(CLEAN(SUBSTITUTE([2]Main!$F$2:$F$5000,CHAR(160)," ")))=
TRIM(CLEAN(SUBSTITUTE($B71,CHAR(160)," "))))
*
(--TEXT([2]Main!$N$2:$N$5000,"dd/mm/yyyy")=
--TEXT($C71,"dd/mm/yyyy")),
[2]Main!$S$2:$S$5000,
"Không tìm thấy"
)
)</f>
        <v>VN</v>
      </c>
      <c r="N71" s="13" t="str" cm="1">
        <f t="array" ref="N71">IFERROR(
_xlfn.XLOOKUP(
1,
(TRIM(CLEAN(SUBSTITUTE([1]Main!$F$2:$F$5000,CHAR(160)," ")))=
TRIM(CLEAN(SUBSTITUTE($B71,CHAR(160)," "))))
*
(--TEXT([1]Main!$N$2:$N$5000,"dd/mm/yyyy")=
--TEXT($C71,"dd/mm/yyyy")),
[1]Main!$AL$2:$AL$5000
),
_xlfn.XLOOKUP(
1,
(TRIM(CLEAN(SUBSTITUTE([2]Main!$F$2:$F$5000,CHAR(160)," ")))=
TRIM(CLEAN(SUBSTITUTE($B71,CHAR(160)," "))))
*
(--TEXT([2]Main!$N$2:$N$5000,"dd/mm/yyyy")=
--TEXT($C71,"dd/mm/yyyy")),
[2]Main!$AL$2:$AL$5000,
"Không tìm thấy"
)
)</f>
        <v>Thành phố Hà Nội</v>
      </c>
      <c r="O71" s="10"/>
      <c r="P71" s="10"/>
      <c r="Q71" s="10"/>
      <c r="R71" s="10"/>
      <c r="S71" s="10"/>
      <c r="T71" s="3" t="s">
        <v>653</v>
      </c>
      <c r="U71" s="3"/>
      <c r="V71" s="3"/>
      <c r="W71" s="3" t="str">
        <f>IF(
    COUNTIFS(
        [1]Main!$F:$F,$B71,
        [1]Main!$N:$N,$C71
    )&gt;0,
    "Active",
    IF(
        COUNTIFS(
            [2]Main!$F:$F,$B71,
            [2]Main!$N:$N,$C71
        )&gt;0,
        "Inactive",
        "Không tìm thấy"
    )
)</f>
        <v>Active</v>
      </c>
      <c r="X71" s="15" t="str" cm="1">
        <f t="array" ref="X71">IFERROR(
_xlfn.XLOOKUP(
1,
(TRIM(CLEAN(SUBSTITUTE([2]Main!$F$2:$F$5000,CHAR(160)," ")))=
TRIM(CLEAN(SUBSTITUTE($B71,CHAR(160)," "))))
*
(--TEXT([2]Main!$N$2:$N$5000,"dd/mm/yyyy")=
--TEXT($C71,"dd/mm/yyyy")),
[2]Main!$AA$2:$AA$5000,
""
),
"")</f>
        <v/>
      </c>
      <c r="Y71" s="3"/>
      <c r="Z71" s="3"/>
      <c r="AA71" s="3"/>
      <c r="AB71" s="3"/>
    </row>
    <row r="72" spans="1:28" ht="38.25" customHeight="1" x14ac:dyDescent="0.25">
      <c r="A72" s="1">
        <v>71</v>
      </c>
      <c r="B72" s="2" t="s">
        <v>395</v>
      </c>
      <c r="C72" s="2" t="s">
        <v>396</v>
      </c>
      <c r="D72" s="2" t="s">
        <v>397</v>
      </c>
      <c r="E72" s="2" t="s">
        <v>19</v>
      </c>
      <c r="F72" s="2" t="s">
        <v>61</v>
      </c>
      <c r="G72" s="2" t="s">
        <v>398</v>
      </c>
      <c r="H72" s="1" t="s">
        <v>383</v>
      </c>
      <c r="I72" s="1" t="s">
        <v>14</v>
      </c>
      <c r="J72" s="2" t="s">
        <v>198</v>
      </c>
      <c r="K72" s="13" t="str" cm="1">
        <f t="array" ref="K72">IFERROR(
_xlfn.XLOOKUP(
1,
(TRIM(CLEAN(SUBSTITUTE([1]Main!$F$2:$F$5000,CHAR(160)," ")))=
TRIM(CLEAN(SUBSTITUTE($B72,CHAR(160)," "))))
*
(--TEXT([1]Main!$N$2:$N$5000,"dd/mm/yyyy")=
--TEXT($C72,"dd/mm/yyyy")),
[1]Main!$C$2:$C$5000
),
_xlfn.XLOOKUP(
1,
(TRIM(CLEAN(SUBSTITUTE([2]Main!$F$2:$F$5000,CHAR(160)," ")))=
TRIM(CLEAN(SUBSTITUTE($B72,CHAR(160)," "))))
*
(--TEXT([2]Main!$N$2:$N$5000,"dd/mm/yyyy")=
--TEXT($C72,"dd/mm/yyyy")),
[2]Main!$C$2:$C$5000,
"Không tìm thấy"
)
)</f>
        <v>036300006879</v>
      </c>
      <c r="L72" s="13" t="str" cm="1">
        <f t="array" ref="L72">IFERROR(
_xlfn.XLOOKUP(
1,
(TRIM(CLEAN(SUBSTITUTE([1]Main!$F$2:$F$5000,CHAR(160)," ")))=
TRIM(CLEAN(SUBSTITUTE($B72,CHAR(160)," "))))
*
(--TEXT([1]Main!$N$2:$N$5000,"dd/mm/yyyy")=
--TEXT($C72,"dd/mm/yyyy")),
[1]Main!$Q$2:$Q$5000
),
_xlfn.XLOOKUP(
1,
(TRIM(CLEAN(SUBSTITUTE([2]Main!$F$2:$F$5000,CHAR(160)," ")))=
TRIM(CLEAN(SUBSTITUTE($B72,CHAR(160)," "))))
*
(--TEXT([2]Main!$N$2:$N$5000,"dd/mm/yyyy")=
--TEXT($C72,"dd/mm/yyyy")),
[2]Main!$Q$2:$Q$5000,
"Không tìm thấy"
)
)</f>
        <v>Nữ</v>
      </c>
      <c r="M72" s="13" t="str" cm="1">
        <f t="array" ref="M72">IFERROR(
_xlfn.XLOOKUP(
1,
(TRIM(CLEAN(SUBSTITUTE([1]Main!$F$2:$F$5000,CHAR(160)," ")))=
TRIM(CLEAN(SUBSTITUTE($B72,CHAR(160)," "))))
*
(--TEXT([1]Main!$N$2:$N$5000,"dd/mm/yyyy")=
--TEXT($C72,"dd/mm/yyyy")),
[1]Main!$S$2:$S$5000
),
_xlfn.XLOOKUP(
1,
(TRIM(CLEAN(SUBSTITUTE([2]Main!$F$2:$F$5000,CHAR(160)," ")))=
TRIM(CLEAN(SUBSTITUTE($B72,CHAR(160)," "))))
*
(--TEXT([2]Main!$N$2:$N$5000,"dd/mm/yyyy")=
--TEXT($C72,"dd/mm/yyyy")),
[2]Main!$S$2:$S$5000,
"Không tìm thấy"
)
)</f>
        <v>VN</v>
      </c>
      <c r="N72" s="13" t="str" cm="1">
        <f t="array" ref="N72">IFERROR(
_xlfn.XLOOKUP(
1,
(TRIM(CLEAN(SUBSTITUTE([1]Main!$F$2:$F$5000,CHAR(160)," ")))=
TRIM(CLEAN(SUBSTITUTE($B72,CHAR(160)," "))))
*
(--TEXT([1]Main!$N$2:$N$5000,"dd/mm/yyyy")=
--TEXT($C72,"dd/mm/yyyy")),
[1]Main!$AL$2:$AL$5000
),
_xlfn.XLOOKUP(
1,
(TRIM(CLEAN(SUBSTITUTE([2]Main!$F$2:$F$5000,CHAR(160)," ")))=
TRIM(CLEAN(SUBSTITUTE($B72,CHAR(160)," "))))
*
(--TEXT([2]Main!$N$2:$N$5000,"dd/mm/yyyy")=
--TEXT($C72,"dd/mm/yyyy")),
[2]Main!$AL$2:$AL$5000,
"Không tìm thấy"
)
)</f>
        <v>Thành phố Hà Nội</v>
      </c>
      <c r="O72" s="10"/>
      <c r="P72" s="10"/>
      <c r="Q72" s="10"/>
      <c r="R72" s="10"/>
      <c r="S72" s="10"/>
      <c r="T72" s="3" t="s">
        <v>653</v>
      </c>
      <c r="U72" s="3"/>
      <c r="V72" s="3"/>
      <c r="W72" s="3" t="str">
        <f>IF(
    COUNTIFS(
        [1]Main!$F:$F,$B72,
        [1]Main!$N:$N,$C72
    )&gt;0,
    "Active",
    IF(
        COUNTIFS(
            [2]Main!$F:$F,$B72,
            [2]Main!$N:$N,$C72
        )&gt;0,
        "Inactive",
        "Không tìm thấy"
    )
)</f>
        <v>Active</v>
      </c>
      <c r="X72" s="15" t="str" cm="1">
        <f t="array" ref="X72">IFERROR(
_xlfn.XLOOKUP(
1,
(TRIM(CLEAN(SUBSTITUTE([2]Main!$F$2:$F$5000,CHAR(160)," ")))=
TRIM(CLEAN(SUBSTITUTE($B72,CHAR(160)," "))))
*
(--TEXT([2]Main!$N$2:$N$5000,"dd/mm/yyyy")=
--TEXT($C72,"dd/mm/yyyy")),
[2]Main!$AA$2:$AA$5000,
""
),
"")</f>
        <v/>
      </c>
      <c r="Y72" s="3"/>
      <c r="Z72" s="3"/>
      <c r="AA72" s="3"/>
      <c r="AB72" s="3"/>
    </row>
    <row r="73" spans="1:28" ht="25.5" customHeight="1" x14ac:dyDescent="0.25">
      <c r="A73" s="1">
        <v>72</v>
      </c>
      <c r="B73" s="2" t="s">
        <v>399</v>
      </c>
      <c r="C73" s="2" t="s">
        <v>400</v>
      </c>
      <c r="D73" s="2" t="s">
        <v>401</v>
      </c>
      <c r="E73" s="2" t="s">
        <v>402</v>
      </c>
      <c r="F73" s="2" t="s">
        <v>47</v>
      </c>
      <c r="G73" s="2" t="s">
        <v>321</v>
      </c>
      <c r="H73" s="1" t="s">
        <v>383</v>
      </c>
      <c r="I73" s="1" t="s">
        <v>38</v>
      </c>
      <c r="J73" s="2" t="s">
        <v>126</v>
      </c>
      <c r="K73" s="13" t="str" cm="1">
        <f t="array" ref="K73">IFERROR(
_xlfn.XLOOKUP(
1,
(TRIM(CLEAN(SUBSTITUTE([1]Main!$F$2:$F$5000,CHAR(160)," ")))=
TRIM(CLEAN(SUBSTITUTE($B73,CHAR(160)," "))))
*
(--TEXT([1]Main!$N$2:$N$5000,"dd/mm/yyyy")=
--TEXT($C73,"dd/mm/yyyy")),
[1]Main!$C$2:$C$5000
),
_xlfn.XLOOKUP(
1,
(TRIM(CLEAN(SUBSTITUTE([2]Main!$F$2:$F$5000,CHAR(160)," ")))=
TRIM(CLEAN(SUBSTITUTE($B73,CHAR(160)," "))))
*
(--TEXT([2]Main!$N$2:$N$5000,"dd/mm/yyyy")=
--TEXT($C73,"dd/mm/yyyy")),
[2]Main!$C$2:$C$5000,
"Không tìm thấy"
)
)</f>
        <v>001195021299</v>
      </c>
      <c r="L73" s="13" t="str" cm="1">
        <f t="array" ref="L73">IFERROR(
_xlfn.XLOOKUP(
1,
(TRIM(CLEAN(SUBSTITUTE([1]Main!$F$2:$F$5000,CHAR(160)," ")))=
TRIM(CLEAN(SUBSTITUTE($B73,CHAR(160)," "))))
*
(--TEXT([1]Main!$N$2:$N$5000,"dd/mm/yyyy")=
--TEXT($C73,"dd/mm/yyyy")),
[1]Main!$Q$2:$Q$5000
),
_xlfn.XLOOKUP(
1,
(TRIM(CLEAN(SUBSTITUTE([2]Main!$F$2:$F$5000,CHAR(160)," ")))=
TRIM(CLEAN(SUBSTITUTE($B73,CHAR(160)," "))))
*
(--TEXT([2]Main!$N$2:$N$5000,"dd/mm/yyyy")=
--TEXT($C73,"dd/mm/yyyy")),
[2]Main!$Q$2:$Q$5000,
"Không tìm thấy"
)
)</f>
        <v>Nữ</v>
      </c>
      <c r="M73" s="13" t="str" cm="1">
        <f t="array" ref="M73">IFERROR(
_xlfn.XLOOKUP(
1,
(TRIM(CLEAN(SUBSTITUTE([1]Main!$F$2:$F$5000,CHAR(160)," ")))=
TRIM(CLEAN(SUBSTITUTE($B73,CHAR(160)," "))))
*
(--TEXT([1]Main!$N$2:$N$5000,"dd/mm/yyyy")=
--TEXT($C73,"dd/mm/yyyy")),
[1]Main!$S$2:$S$5000
),
_xlfn.XLOOKUP(
1,
(TRIM(CLEAN(SUBSTITUTE([2]Main!$F$2:$F$5000,CHAR(160)," ")))=
TRIM(CLEAN(SUBSTITUTE($B73,CHAR(160)," "))))
*
(--TEXT([2]Main!$N$2:$N$5000,"dd/mm/yyyy")=
--TEXT($C73,"dd/mm/yyyy")),
[2]Main!$S$2:$S$5000,
"Không tìm thấy"
)
)</f>
        <v>VN</v>
      </c>
      <c r="N73" s="13" t="str" cm="1">
        <f t="array" ref="N73">IFERROR(
_xlfn.XLOOKUP(
1,
(TRIM(CLEAN(SUBSTITUTE([1]Main!$F$2:$F$5000,CHAR(160)," ")))=
TRIM(CLEAN(SUBSTITUTE($B73,CHAR(160)," "))))
*
(--TEXT([1]Main!$N$2:$N$5000,"dd/mm/yyyy")=
--TEXT($C73,"dd/mm/yyyy")),
[1]Main!$AL$2:$AL$5000
),
_xlfn.XLOOKUP(
1,
(TRIM(CLEAN(SUBSTITUTE([2]Main!$F$2:$F$5000,CHAR(160)," ")))=
TRIM(CLEAN(SUBSTITUTE($B73,CHAR(160)," "))))
*
(--TEXT([2]Main!$N$2:$N$5000,"dd/mm/yyyy")=
--TEXT($C73,"dd/mm/yyyy")),
[2]Main!$AL$2:$AL$5000,
"Không tìm thấy"
)
)</f>
        <v>Thành phố Hà Nội</v>
      </c>
      <c r="O73" s="10"/>
      <c r="P73" s="10"/>
      <c r="Q73" s="10"/>
      <c r="R73" s="10"/>
      <c r="S73" s="10"/>
      <c r="T73" s="3" t="s">
        <v>653</v>
      </c>
      <c r="U73" s="3"/>
      <c r="V73" s="3"/>
      <c r="W73" s="3" t="str">
        <f>IF(
    COUNTIFS(
        [1]Main!$F:$F,$B73,
        [1]Main!$N:$N,$C73
    )&gt;0,
    "Active",
    IF(
        COUNTIFS(
            [2]Main!$F:$F,$B73,
            [2]Main!$N:$N,$C73
        )&gt;0,
        "Inactive",
        "Không tìm thấy"
    )
)</f>
        <v>Active</v>
      </c>
      <c r="X73" s="15" t="str" cm="1">
        <f t="array" ref="X73">IFERROR(
_xlfn.XLOOKUP(
1,
(TRIM(CLEAN(SUBSTITUTE([2]Main!$F$2:$F$5000,CHAR(160)," ")))=
TRIM(CLEAN(SUBSTITUTE($B73,CHAR(160)," "))))
*
(--TEXT([2]Main!$N$2:$N$5000,"dd/mm/yyyy")=
--TEXT($C73,"dd/mm/yyyy")),
[2]Main!$AA$2:$AA$5000,
""
),
"")</f>
        <v/>
      </c>
      <c r="Y73" s="3"/>
      <c r="Z73" s="3"/>
      <c r="AA73" s="3"/>
      <c r="AB73" s="3"/>
    </row>
    <row r="74" spans="1:28" ht="38.25" customHeight="1" x14ac:dyDescent="0.25">
      <c r="A74" s="1">
        <v>73</v>
      </c>
      <c r="B74" s="2" t="s">
        <v>403</v>
      </c>
      <c r="C74" s="2" t="s">
        <v>404</v>
      </c>
      <c r="D74" s="2" t="s">
        <v>405</v>
      </c>
      <c r="E74" s="2" t="s">
        <v>406</v>
      </c>
      <c r="F74" s="2" t="s">
        <v>47</v>
      </c>
      <c r="G74" s="2" t="s">
        <v>48</v>
      </c>
      <c r="H74" s="1" t="s">
        <v>383</v>
      </c>
      <c r="I74" s="1" t="s">
        <v>38</v>
      </c>
      <c r="J74" s="2" t="s">
        <v>126</v>
      </c>
      <c r="K74" s="13" t="str" cm="1">
        <f t="array" ref="K74">IFERROR(
_xlfn.XLOOKUP(
1,
(TRIM(CLEAN(SUBSTITUTE([1]Main!$F$2:$F$5000,CHAR(160)," ")))=
TRIM(CLEAN(SUBSTITUTE($B74,CHAR(160)," "))))
*
(--TEXT([1]Main!$N$2:$N$5000,"dd/mm/yyyy")=
--TEXT($C74,"dd/mm/yyyy")),
[1]Main!$C$2:$C$5000
),
_xlfn.XLOOKUP(
1,
(TRIM(CLEAN(SUBSTITUTE([2]Main!$F$2:$F$5000,CHAR(160)," ")))=
TRIM(CLEAN(SUBSTITUTE($B74,CHAR(160)," "))))
*
(--TEXT([2]Main!$N$2:$N$5000,"dd/mm/yyyy")=
--TEXT($C74,"dd/mm/yyyy")),
[2]Main!$C$2:$C$5000,
"Không tìm thấy"
)
)</f>
        <v>Không tìm thấy</v>
      </c>
      <c r="L74" s="13" t="str" cm="1">
        <f t="array" ref="L74">IFERROR(
_xlfn.XLOOKUP(
1,
(TRIM(CLEAN(SUBSTITUTE([1]Main!$F$2:$F$5000,CHAR(160)," ")))=
TRIM(CLEAN(SUBSTITUTE($B74,CHAR(160)," "))))
*
(--TEXT([1]Main!$N$2:$N$5000,"dd/mm/yyyy")=
--TEXT($C74,"dd/mm/yyyy")),
[1]Main!$Q$2:$Q$5000
),
_xlfn.XLOOKUP(
1,
(TRIM(CLEAN(SUBSTITUTE([2]Main!$F$2:$F$5000,CHAR(160)," ")))=
TRIM(CLEAN(SUBSTITUTE($B74,CHAR(160)," "))))
*
(--TEXT([2]Main!$N$2:$N$5000,"dd/mm/yyyy")=
--TEXT($C74,"dd/mm/yyyy")),
[2]Main!$Q$2:$Q$5000,
"Không tìm thấy"
)
)</f>
        <v>Không tìm thấy</v>
      </c>
      <c r="M74" s="13" t="str" cm="1">
        <f t="array" ref="M74">IFERROR(
_xlfn.XLOOKUP(
1,
(TRIM(CLEAN(SUBSTITUTE([1]Main!$F$2:$F$5000,CHAR(160)," ")))=
TRIM(CLEAN(SUBSTITUTE($B74,CHAR(160)," "))))
*
(--TEXT([1]Main!$N$2:$N$5000,"dd/mm/yyyy")=
--TEXT($C74,"dd/mm/yyyy")),
[1]Main!$S$2:$S$5000
),
_xlfn.XLOOKUP(
1,
(TRIM(CLEAN(SUBSTITUTE([2]Main!$F$2:$F$5000,CHAR(160)," ")))=
TRIM(CLEAN(SUBSTITUTE($B74,CHAR(160)," "))))
*
(--TEXT([2]Main!$N$2:$N$5000,"dd/mm/yyyy")=
--TEXT($C74,"dd/mm/yyyy")),
[2]Main!$S$2:$S$5000,
"Không tìm thấy"
)
)</f>
        <v>Không tìm thấy</v>
      </c>
      <c r="N74" s="13" t="str" cm="1">
        <f t="array" ref="N74">IFERROR(
_xlfn.XLOOKUP(
1,
(TRIM(CLEAN(SUBSTITUTE([1]Main!$F$2:$F$5000,CHAR(160)," ")))=
TRIM(CLEAN(SUBSTITUTE($B74,CHAR(160)," "))))
*
(--TEXT([1]Main!$N$2:$N$5000,"dd/mm/yyyy")=
--TEXT($C74,"dd/mm/yyyy")),
[1]Main!$AL$2:$AL$5000
),
_xlfn.XLOOKUP(
1,
(TRIM(CLEAN(SUBSTITUTE([2]Main!$F$2:$F$5000,CHAR(160)," ")))=
TRIM(CLEAN(SUBSTITUTE($B74,CHAR(160)," "))))
*
(--TEXT([2]Main!$N$2:$N$5000,"dd/mm/yyyy")=
--TEXT($C74,"dd/mm/yyyy")),
[2]Main!$AL$2:$AL$5000,
"Không tìm thấy"
)
)</f>
        <v>Không tìm thấy</v>
      </c>
      <c r="O74" s="10"/>
      <c r="P74" s="10"/>
      <c r="Q74" s="10"/>
      <c r="R74" s="10"/>
      <c r="S74" s="10"/>
      <c r="T74" s="3" t="s">
        <v>653</v>
      </c>
      <c r="U74" s="3"/>
      <c r="V74" s="3"/>
      <c r="W74" s="3" t="str">
        <f>IF(
    COUNTIFS(
        [1]Main!$F:$F,$B74,
        [1]Main!$N:$N,$C74
    )&gt;0,
    "Active",
    IF(
        COUNTIFS(
            [2]Main!$F:$F,$B74,
            [2]Main!$N:$N,$C74
        )&gt;0,
        "Inactive",
        "Không tìm thấy"
    )
)</f>
        <v>Không tìm thấy</v>
      </c>
      <c r="X74" s="15" t="str" cm="1">
        <f t="array" ref="X74">IFERROR(
_xlfn.XLOOKUP(
1,
(TRIM(CLEAN(SUBSTITUTE([2]Main!$F$2:$F$5000,CHAR(160)," ")))=
TRIM(CLEAN(SUBSTITUTE($B74,CHAR(160)," "))))
*
(--TEXT([2]Main!$N$2:$N$5000,"dd/mm/yyyy")=
--TEXT($C74,"dd/mm/yyyy")),
[2]Main!$AA$2:$AA$5000,
""
),
"")</f>
        <v/>
      </c>
      <c r="Y74" s="3"/>
      <c r="Z74" s="3"/>
      <c r="AA74" s="3"/>
      <c r="AB74" s="3"/>
    </row>
    <row r="75" spans="1:28" ht="25.5" customHeight="1" x14ac:dyDescent="0.25">
      <c r="A75" s="1">
        <v>74</v>
      </c>
      <c r="B75" s="2" t="s">
        <v>407</v>
      </c>
      <c r="C75" s="2" t="s">
        <v>408</v>
      </c>
      <c r="D75" s="2" t="s">
        <v>409</v>
      </c>
      <c r="E75" s="2" t="s">
        <v>279</v>
      </c>
      <c r="F75" s="2" t="s">
        <v>155</v>
      </c>
      <c r="G75" s="2" t="s">
        <v>280</v>
      </c>
      <c r="H75" s="1" t="s">
        <v>383</v>
      </c>
      <c r="I75" s="1" t="s">
        <v>38</v>
      </c>
      <c r="J75" s="2" t="s">
        <v>15</v>
      </c>
      <c r="K75" s="13" t="str" cm="1">
        <f t="array" ref="K75">IFERROR(
_xlfn.XLOOKUP(
1,
(TRIM(CLEAN(SUBSTITUTE([1]Main!$F$2:$F$5000,CHAR(160)," ")))=
TRIM(CLEAN(SUBSTITUTE($B75,CHAR(160)," "))))
*
(--TEXT([1]Main!$N$2:$N$5000,"dd/mm/yyyy")=
--TEXT($C75,"dd/mm/yyyy")),
[1]Main!$C$2:$C$5000
),
_xlfn.XLOOKUP(
1,
(TRIM(CLEAN(SUBSTITUTE([2]Main!$F$2:$F$5000,CHAR(160)," ")))=
TRIM(CLEAN(SUBSTITUTE($B75,CHAR(160)," "))))
*
(--TEXT([2]Main!$N$2:$N$5000,"dd/mm/yyyy")=
--TEXT($C75,"dd/mm/yyyy")),
[2]Main!$C$2:$C$5000,
"Không tìm thấy"
)
)</f>
        <v>034097009083</v>
      </c>
      <c r="L75" s="13" t="str" cm="1">
        <f t="array" ref="L75">IFERROR(
_xlfn.XLOOKUP(
1,
(TRIM(CLEAN(SUBSTITUTE([1]Main!$F$2:$F$5000,CHAR(160)," ")))=
TRIM(CLEAN(SUBSTITUTE($B75,CHAR(160)," "))))
*
(--TEXT([1]Main!$N$2:$N$5000,"dd/mm/yyyy")=
--TEXT($C75,"dd/mm/yyyy")),
[1]Main!$Q$2:$Q$5000
),
_xlfn.XLOOKUP(
1,
(TRIM(CLEAN(SUBSTITUTE([2]Main!$F$2:$F$5000,CHAR(160)," ")))=
TRIM(CLEAN(SUBSTITUTE($B75,CHAR(160)," "))))
*
(--TEXT([2]Main!$N$2:$N$5000,"dd/mm/yyyy")=
--TEXT($C75,"dd/mm/yyyy")),
[2]Main!$Q$2:$Q$5000,
"Không tìm thấy"
)
)</f>
        <v>Nam</v>
      </c>
      <c r="M75" s="13" t="str" cm="1">
        <f t="array" ref="M75">IFERROR(
_xlfn.XLOOKUP(
1,
(TRIM(CLEAN(SUBSTITUTE([1]Main!$F$2:$F$5000,CHAR(160)," ")))=
TRIM(CLEAN(SUBSTITUTE($B75,CHAR(160)," "))))
*
(--TEXT([1]Main!$N$2:$N$5000,"dd/mm/yyyy")=
--TEXT($C75,"dd/mm/yyyy")),
[1]Main!$S$2:$S$5000
),
_xlfn.XLOOKUP(
1,
(TRIM(CLEAN(SUBSTITUTE([2]Main!$F$2:$F$5000,CHAR(160)," ")))=
TRIM(CLEAN(SUBSTITUTE($B75,CHAR(160)," "))))
*
(--TEXT([2]Main!$N$2:$N$5000,"dd/mm/yyyy")=
--TEXT($C75,"dd/mm/yyyy")),
[2]Main!$S$2:$S$5000,
"Không tìm thấy"
)
)</f>
        <v>VN</v>
      </c>
      <c r="N75" s="13" t="str" cm="1">
        <f t="array" ref="N75">IFERROR(
_xlfn.XLOOKUP(
1,
(TRIM(CLEAN(SUBSTITUTE([1]Main!$F$2:$F$5000,CHAR(160)," ")))=
TRIM(CLEAN(SUBSTITUTE($B75,CHAR(160)," "))))
*
(--TEXT([1]Main!$N$2:$N$5000,"dd/mm/yyyy")=
--TEXT($C75,"dd/mm/yyyy")),
[1]Main!$AL$2:$AL$5000
),
_xlfn.XLOOKUP(
1,
(TRIM(CLEAN(SUBSTITUTE([2]Main!$F$2:$F$5000,CHAR(160)," ")))=
TRIM(CLEAN(SUBSTITUTE($B75,CHAR(160)," "))))
*
(--TEXT([2]Main!$N$2:$N$5000,"dd/mm/yyyy")=
--TEXT($C75,"dd/mm/yyyy")),
[2]Main!$AL$2:$AL$5000,
"Không tìm thấy"
)
)</f>
        <v>Thành phố Hà Nội</v>
      </c>
      <c r="O75" s="10"/>
      <c r="P75" s="10"/>
      <c r="Q75" s="10"/>
      <c r="R75" s="10"/>
      <c r="S75" s="10"/>
      <c r="T75" s="3" t="s">
        <v>653</v>
      </c>
      <c r="U75" s="3"/>
      <c r="V75" s="3"/>
      <c r="W75" s="3" t="str">
        <f>IF(
    COUNTIFS(
        [1]Main!$F:$F,$B75,
        [1]Main!$N:$N,$C75
    )&gt;0,
    "Active",
    IF(
        COUNTIFS(
            [2]Main!$F:$F,$B75,
            [2]Main!$N:$N,$C75
        )&gt;0,
        "Inactive",
        "Không tìm thấy"
    )
)</f>
        <v>Active</v>
      </c>
      <c r="X75" s="15" t="str" cm="1">
        <f t="array" ref="X75">IFERROR(
_xlfn.XLOOKUP(
1,
(TRIM(CLEAN(SUBSTITUTE([2]Main!$F$2:$F$5000,CHAR(160)," ")))=
TRIM(CLEAN(SUBSTITUTE($B75,CHAR(160)," "))))
*
(--TEXT([2]Main!$N$2:$N$5000,"dd/mm/yyyy")=
--TEXT($C75,"dd/mm/yyyy")),
[2]Main!$AA$2:$AA$5000,
""
),
"")</f>
        <v/>
      </c>
      <c r="Y75" s="3"/>
      <c r="Z75" s="3"/>
      <c r="AA75" s="3"/>
      <c r="AB75" s="3"/>
    </row>
    <row r="76" spans="1:28" ht="25.5" customHeight="1" x14ac:dyDescent="0.25">
      <c r="A76" s="1">
        <v>75</v>
      </c>
      <c r="B76" s="2" t="s">
        <v>410</v>
      </c>
      <c r="C76" s="2" t="s">
        <v>411</v>
      </c>
      <c r="D76" s="2" t="s">
        <v>412</v>
      </c>
      <c r="E76" s="2" t="s">
        <v>279</v>
      </c>
      <c r="F76" s="2" t="s">
        <v>155</v>
      </c>
      <c r="G76" s="2" t="s">
        <v>413</v>
      </c>
      <c r="H76" s="1" t="s">
        <v>383</v>
      </c>
      <c r="I76" s="1" t="s">
        <v>38</v>
      </c>
      <c r="J76" s="2" t="s">
        <v>15</v>
      </c>
      <c r="K76" s="13" t="str" cm="1">
        <f t="array" ref="K76">IFERROR(
_xlfn.XLOOKUP(
1,
(TRIM(CLEAN(SUBSTITUTE([1]Main!$F$2:$F$5000,CHAR(160)," ")))=
TRIM(CLEAN(SUBSTITUTE($B76,CHAR(160)," "))))
*
(--TEXT([1]Main!$N$2:$N$5000,"dd/mm/yyyy")=
--TEXT($C76,"dd/mm/yyyy")),
[1]Main!$C$2:$C$5000
),
_xlfn.XLOOKUP(
1,
(TRIM(CLEAN(SUBSTITUTE([2]Main!$F$2:$F$5000,CHAR(160)," ")))=
TRIM(CLEAN(SUBSTITUTE($B76,CHAR(160)," "))))
*
(--TEXT([2]Main!$N$2:$N$5000,"dd/mm/yyyy")=
--TEXT($C76,"dd/mm/yyyy")),
[2]Main!$C$2:$C$5000,
"Không tìm thấy"
)
)</f>
        <v>001203018312</v>
      </c>
      <c r="L76" s="13" t="str" cm="1">
        <f t="array" ref="L76">IFERROR(
_xlfn.XLOOKUP(
1,
(TRIM(CLEAN(SUBSTITUTE([1]Main!$F$2:$F$5000,CHAR(160)," ")))=
TRIM(CLEAN(SUBSTITUTE($B76,CHAR(160)," "))))
*
(--TEXT([1]Main!$N$2:$N$5000,"dd/mm/yyyy")=
--TEXT($C76,"dd/mm/yyyy")),
[1]Main!$Q$2:$Q$5000
),
_xlfn.XLOOKUP(
1,
(TRIM(CLEAN(SUBSTITUTE([2]Main!$F$2:$F$5000,CHAR(160)," ")))=
TRIM(CLEAN(SUBSTITUTE($B76,CHAR(160)," "))))
*
(--TEXT([2]Main!$N$2:$N$5000,"dd/mm/yyyy")=
--TEXT($C76,"dd/mm/yyyy")),
[2]Main!$Q$2:$Q$5000,
"Không tìm thấy"
)
)</f>
        <v>Nam</v>
      </c>
      <c r="M76" s="13" t="str" cm="1">
        <f t="array" ref="M76">IFERROR(
_xlfn.XLOOKUP(
1,
(TRIM(CLEAN(SUBSTITUTE([1]Main!$F$2:$F$5000,CHAR(160)," ")))=
TRIM(CLEAN(SUBSTITUTE($B76,CHAR(160)," "))))
*
(--TEXT([1]Main!$N$2:$N$5000,"dd/mm/yyyy")=
--TEXT($C76,"dd/mm/yyyy")),
[1]Main!$S$2:$S$5000
),
_xlfn.XLOOKUP(
1,
(TRIM(CLEAN(SUBSTITUTE([2]Main!$F$2:$F$5000,CHAR(160)," ")))=
TRIM(CLEAN(SUBSTITUTE($B76,CHAR(160)," "))))
*
(--TEXT([2]Main!$N$2:$N$5000,"dd/mm/yyyy")=
--TEXT($C76,"dd/mm/yyyy")),
[2]Main!$S$2:$S$5000,
"Không tìm thấy"
)
)</f>
        <v>VN</v>
      </c>
      <c r="N76" s="13" t="str" cm="1">
        <f t="array" ref="N76">IFERROR(
_xlfn.XLOOKUP(
1,
(TRIM(CLEAN(SUBSTITUTE([1]Main!$F$2:$F$5000,CHAR(160)," ")))=
TRIM(CLEAN(SUBSTITUTE($B76,CHAR(160)," "))))
*
(--TEXT([1]Main!$N$2:$N$5000,"dd/mm/yyyy")=
--TEXT($C76,"dd/mm/yyyy")),
[1]Main!$AL$2:$AL$5000
),
_xlfn.XLOOKUP(
1,
(TRIM(CLEAN(SUBSTITUTE([2]Main!$F$2:$F$5000,CHAR(160)," ")))=
TRIM(CLEAN(SUBSTITUTE($B76,CHAR(160)," "))))
*
(--TEXT([2]Main!$N$2:$N$5000,"dd/mm/yyyy")=
--TEXT($C76,"dd/mm/yyyy")),
[2]Main!$AL$2:$AL$5000,
"Không tìm thấy"
)
)</f>
        <v>Thành phố Hà Nội</v>
      </c>
      <c r="O76" s="10"/>
      <c r="P76" s="10"/>
      <c r="Q76" s="10"/>
      <c r="R76" s="10"/>
      <c r="S76" s="10"/>
      <c r="T76" s="3" t="s">
        <v>653</v>
      </c>
      <c r="U76" s="3"/>
      <c r="V76" s="3"/>
      <c r="W76" s="3" t="str">
        <f>IF(
    COUNTIFS(
        [1]Main!$F:$F,$B76,
        [1]Main!$N:$N,$C76
    )&gt;0,
    "Active",
    IF(
        COUNTIFS(
            [2]Main!$F:$F,$B76,
            [2]Main!$N:$N,$C76
        )&gt;0,
        "Inactive",
        "Không tìm thấy"
    )
)</f>
        <v>Inactive</v>
      </c>
      <c r="X76" s="15" cm="1">
        <f t="array" ref="X76">IFERROR(
_xlfn.XLOOKUP(
1,
(TRIM(CLEAN(SUBSTITUTE([2]Main!$F$2:$F$5000,CHAR(160)," ")))=
TRIM(CLEAN(SUBSTITUTE($B76,CHAR(160)," "))))
*
(--TEXT([2]Main!$N$2:$N$5000,"dd/mm/yyyy")=
--TEXT($C76,"dd/mm/yyyy")),
[2]Main!$AA$2:$AA$5000,
""
),
"")</f>
        <v>46206</v>
      </c>
      <c r="Y76" s="3"/>
      <c r="Z76" s="3"/>
      <c r="AA76" s="3"/>
      <c r="AB76" s="3"/>
    </row>
    <row r="77" spans="1:28" ht="38.25" customHeight="1" x14ac:dyDescent="0.25">
      <c r="A77" s="1">
        <v>76</v>
      </c>
      <c r="B77" s="2" t="s">
        <v>414</v>
      </c>
      <c r="C77" s="2" t="s">
        <v>415</v>
      </c>
      <c r="D77" s="2" t="s">
        <v>416</v>
      </c>
      <c r="E77" s="2" t="s">
        <v>271</v>
      </c>
      <c r="F77" s="2" t="s">
        <v>315</v>
      </c>
      <c r="G77" s="2" t="s">
        <v>272</v>
      </c>
      <c r="H77" s="1" t="s">
        <v>417</v>
      </c>
      <c r="I77" s="1" t="s">
        <v>14</v>
      </c>
      <c r="J77" s="2" t="s">
        <v>126</v>
      </c>
      <c r="K77" s="13" t="str" cm="1">
        <f t="array" ref="K77">IFERROR(
_xlfn.XLOOKUP(
1,
(TRIM(CLEAN(SUBSTITUTE([1]Main!$F$2:$F$5000,CHAR(160)," ")))=
TRIM(CLEAN(SUBSTITUTE($B77,CHAR(160)," "))))
*
(--TEXT([1]Main!$N$2:$N$5000,"dd/mm/yyyy")=
--TEXT($C77,"dd/mm/yyyy")),
[1]Main!$C$2:$C$5000
),
_xlfn.XLOOKUP(
1,
(TRIM(CLEAN(SUBSTITUTE([2]Main!$F$2:$F$5000,CHAR(160)," ")))=
TRIM(CLEAN(SUBSTITUTE($B77,CHAR(160)," "))))
*
(--TEXT([2]Main!$N$2:$N$5000,"dd/mm/yyyy")=
--TEXT($C77,"dd/mm/yyyy")),
[2]Main!$C$2:$C$5000,
"Không tìm thấy"
)
)</f>
        <v>040203013844</v>
      </c>
      <c r="L77" s="13" t="str" cm="1">
        <f t="array" ref="L77">IFERROR(
_xlfn.XLOOKUP(
1,
(TRIM(CLEAN(SUBSTITUTE([1]Main!$F$2:$F$5000,CHAR(160)," ")))=
TRIM(CLEAN(SUBSTITUTE($B77,CHAR(160)," "))))
*
(--TEXT([1]Main!$N$2:$N$5000,"dd/mm/yyyy")=
--TEXT($C77,"dd/mm/yyyy")),
[1]Main!$Q$2:$Q$5000
),
_xlfn.XLOOKUP(
1,
(TRIM(CLEAN(SUBSTITUTE([2]Main!$F$2:$F$5000,CHAR(160)," ")))=
TRIM(CLEAN(SUBSTITUTE($B77,CHAR(160)," "))))
*
(--TEXT([2]Main!$N$2:$N$5000,"dd/mm/yyyy")=
--TEXT($C77,"dd/mm/yyyy")),
[2]Main!$Q$2:$Q$5000,
"Không tìm thấy"
)
)</f>
        <v>Nam</v>
      </c>
      <c r="M77" s="13" t="str" cm="1">
        <f t="array" ref="M77">IFERROR(
_xlfn.XLOOKUP(
1,
(TRIM(CLEAN(SUBSTITUTE([1]Main!$F$2:$F$5000,CHAR(160)," ")))=
TRIM(CLEAN(SUBSTITUTE($B77,CHAR(160)," "))))
*
(--TEXT([1]Main!$N$2:$N$5000,"dd/mm/yyyy")=
--TEXT($C77,"dd/mm/yyyy")),
[1]Main!$S$2:$S$5000
),
_xlfn.XLOOKUP(
1,
(TRIM(CLEAN(SUBSTITUTE([2]Main!$F$2:$F$5000,CHAR(160)," ")))=
TRIM(CLEAN(SUBSTITUTE($B77,CHAR(160)," "))))
*
(--TEXT([2]Main!$N$2:$N$5000,"dd/mm/yyyy")=
--TEXT($C77,"dd/mm/yyyy")),
[2]Main!$S$2:$S$5000,
"Không tìm thấy"
)
)</f>
        <v>VN</v>
      </c>
      <c r="N77" s="13" t="str" cm="1">
        <f t="array" ref="N77">IFERROR(
_xlfn.XLOOKUP(
1,
(TRIM(CLEAN(SUBSTITUTE([1]Main!$F$2:$F$5000,CHAR(160)," ")))=
TRIM(CLEAN(SUBSTITUTE($B77,CHAR(160)," "))))
*
(--TEXT([1]Main!$N$2:$N$5000,"dd/mm/yyyy")=
--TEXT($C77,"dd/mm/yyyy")),
[1]Main!$AL$2:$AL$5000
),
_xlfn.XLOOKUP(
1,
(TRIM(CLEAN(SUBSTITUTE([2]Main!$F$2:$F$5000,CHAR(160)," ")))=
TRIM(CLEAN(SUBSTITUTE($B77,CHAR(160)," "))))
*
(--TEXT([2]Main!$N$2:$N$5000,"dd/mm/yyyy")=
--TEXT($C77,"dd/mm/yyyy")),
[2]Main!$AL$2:$AL$5000,
"Không tìm thấy"
)
)</f>
        <v>Thành phố Hà Nội</v>
      </c>
      <c r="O77" s="10"/>
      <c r="P77" s="10"/>
      <c r="Q77" s="10"/>
      <c r="R77" s="10"/>
      <c r="S77" s="10"/>
      <c r="T77" s="3" t="s">
        <v>653</v>
      </c>
      <c r="U77" s="3"/>
      <c r="V77" s="3"/>
      <c r="W77" s="3" t="str">
        <f>IF(
    COUNTIFS(
        [1]Main!$F:$F,$B77,
        [1]Main!$N:$N,$C77
    )&gt;0,
    "Active",
    IF(
        COUNTIFS(
            [2]Main!$F:$F,$B77,
            [2]Main!$N:$N,$C77
        )&gt;0,
        "Inactive",
        "Không tìm thấy"
    )
)</f>
        <v>Inactive</v>
      </c>
      <c r="X77" s="15" cm="1">
        <f t="array" ref="X77">IFERROR(
_xlfn.XLOOKUP(
1,
(TRIM(CLEAN(SUBSTITUTE([2]Main!$F$2:$F$5000,CHAR(160)," ")))=
TRIM(CLEAN(SUBSTITUTE($B77,CHAR(160)," "))))
*
(--TEXT([2]Main!$N$2:$N$5000,"dd/mm/yyyy")=
--TEXT($C77,"dd/mm/yyyy")),
[2]Main!$AA$2:$AA$5000,
""
),
"")</f>
        <v>46198</v>
      </c>
      <c r="Y77" s="3"/>
      <c r="Z77" s="3"/>
      <c r="AA77" s="3"/>
      <c r="AB77" s="3"/>
    </row>
    <row r="78" spans="1:28" ht="38.25" customHeight="1" x14ac:dyDescent="0.25">
      <c r="A78" s="1">
        <v>77</v>
      </c>
      <c r="B78" s="2" t="s">
        <v>418</v>
      </c>
      <c r="C78" s="2" t="s">
        <v>419</v>
      </c>
      <c r="D78" s="2" t="s">
        <v>420</v>
      </c>
      <c r="E78" s="2" t="s">
        <v>123</v>
      </c>
      <c r="F78" s="2" t="s">
        <v>47</v>
      </c>
      <c r="G78" s="2" t="s">
        <v>48</v>
      </c>
      <c r="H78" s="1" t="s">
        <v>417</v>
      </c>
      <c r="I78" s="1" t="s">
        <v>14</v>
      </c>
      <c r="J78" s="2" t="s">
        <v>126</v>
      </c>
      <c r="K78" s="13" t="str" cm="1">
        <f t="array" ref="K78">IFERROR(
_xlfn.XLOOKUP(
1,
(TRIM(CLEAN(SUBSTITUTE([1]Main!$F$2:$F$5000,CHAR(160)," ")))=
TRIM(CLEAN(SUBSTITUTE($B78,CHAR(160)," "))))
*
(--TEXT([1]Main!$N$2:$N$5000,"dd/mm/yyyy")=
--TEXT($C78,"dd/mm/yyyy")),
[1]Main!$C$2:$C$5000
),
_xlfn.XLOOKUP(
1,
(TRIM(CLEAN(SUBSTITUTE([2]Main!$F$2:$F$5000,CHAR(160)," ")))=
TRIM(CLEAN(SUBSTITUTE($B78,CHAR(160)," "))))
*
(--TEXT([2]Main!$N$2:$N$5000,"dd/mm/yyyy")=
--TEXT($C78,"dd/mm/yyyy")),
[2]Main!$C$2:$C$5000,
"Không tìm thấy"
)
)</f>
        <v>036301002588</v>
      </c>
      <c r="L78" s="13" t="str" cm="1">
        <f t="array" ref="L78">IFERROR(
_xlfn.XLOOKUP(
1,
(TRIM(CLEAN(SUBSTITUTE([1]Main!$F$2:$F$5000,CHAR(160)," ")))=
TRIM(CLEAN(SUBSTITUTE($B78,CHAR(160)," "))))
*
(--TEXT([1]Main!$N$2:$N$5000,"dd/mm/yyyy")=
--TEXT($C78,"dd/mm/yyyy")),
[1]Main!$Q$2:$Q$5000
),
_xlfn.XLOOKUP(
1,
(TRIM(CLEAN(SUBSTITUTE([2]Main!$F$2:$F$5000,CHAR(160)," ")))=
TRIM(CLEAN(SUBSTITUTE($B78,CHAR(160)," "))))
*
(--TEXT([2]Main!$N$2:$N$5000,"dd/mm/yyyy")=
--TEXT($C78,"dd/mm/yyyy")),
[2]Main!$Q$2:$Q$5000,
"Không tìm thấy"
)
)</f>
        <v>Nữ</v>
      </c>
      <c r="M78" s="13" t="str" cm="1">
        <f t="array" ref="M78">IFERROR(
_xlfn.XLOOKUP(
1,
(TRIM(CLEAN(SUBSTITUTE([1]Main!$F$2:$F$5000,CHAR(160)," ")))=
TRIM(CLEAN(SUBSTITUTE($B78,CHAR(160)," "))))
*
(--TEXT([1]Main!$N$2:$N$5000,"dd/mm/yyyy")=
--TEXT($C78,"dd/mm/yyyy")),
[1]Main!$S$2:$S$5000
),
_xlfn.XLOOKUP(
1,
(TRIM(CLEAN(SUBSTITUTE([2]Main!$F$2:$F$5000,CHAR(160)," ")))=
TRIM(CLEAN(SUBSTITUTE($B78,CHAR(160)," "))))
*
(--TEXT([2]Main!$N$2:$N$5000,"dd/mm/yyyy")=
--TEXT($C78,"dd/mm/yyyy")),
[2]Main!$S$2:$S$5000,
"Không tìm thấy"
)
)</f>
        <v>VN</v>
      </c>
      <c r="N78" s="13" t="str" cm="1">
        <f t="array" ref="N78">IFERROR(
_xlfn.XLOOKUP(
1,
(TRIM(CLEAN(SUBSTITUTE([1]Main!$F$2:$F$5000,CHAR(160)," ")))=
TRIM(CLEAN(SUBSTITUTE($B78,CHAR(160)," "))))
*
(--TEXT([1]Main!$N$2:$N$5000,"dd/mm/yyyy")=
--TEXT($C78,"dd/mm/yyyy")),
[1]Main!$AL$2:$AL$5000
),
_xlfn.XLOOKUP(
1,
(TRIM(CLEAN(SUBSTITUTE([2]Main!$F$2:$F$5000,CHAR(160)," ")))=
TRIM(CLEAN(SUBSTITUTE($B78,CHAR(160)," "))))
*
(--TEXT([2]Main!$N$2:$N$5000,"dd/mm/yyyy")=
--TEXT($C78,"dd/mm/yyyy")),
[2]Main!$AL$2:$AL$5000,
"Không tìm thấy"
)
)</f>
        <v>Thành phố Hà Nội</v>
      </c>
      <c r="O78" s="10"/>
      <c r="P78" s="10"/>
      <c r="Q78" s="10"/>
      <c r="R78" s="10"/>
      <c r="S78" s="10"/>
      <c r="T78" s="3" t="s">
        <v>653</v>
      </c>
      <c r="U78" s="3"/>
      <c r="V78" s="3"/>
      <c r="W78" s="3" t="str">
        <f>IF(
    COUNTIFS(
        [1]Main!$F:$F,$B78,
        [1]Main!$N:$N,$C78
    )&gt;0,
    "Active",
    IF(
        COUNTIFS(
            [2]Main!$F:$F,$B78,
            [2]Main!$N:$N,$C78
        )&gt;0,
        "Inactive",
        "Không tìm thấy"
    )
)</f>
        <v>Active</v>
      </c>
      <c r="X78" s="15" t="str" cm="1">
        <f t="array" ref="X78">IFERROR(
_xlfn.XLOOKUP(
1,
(TRIM(CLEAN(SUBSTITUTE([2]Main!$F$2:$F$5000,CHAR(160)," ")))=
TRIM(CLEAN(SUBSTITUTE($B78,CHAR(160)," "))))
*
(--TEXT([2]Main!$N$2:$N$5000,"dd/mm/yyyy")=
--TEXT($C78,"dd/mm/yyyy")),
[2]Main!$AA$2:$AA$5000,
""
),
"")</f>
        <v/>
      </c>
      <c r="Y78" s="3"/>
      <c r="Z78" s="3"/>
      <c r="AA78" s="3"/>
      <c r="AB78" s="3"/>
    </row>
    <row r="79" spans="1:28" ht="38.25" customHeight="1" x14ac:dyDescent="0.25">
      <c r="A79" s="1">
        <v>78</v>
      </c>
      <c r="B79" s="2" t="s">
        <v>421</v>
      </c>
      <c r="C79" s="2" t="s">
        <v>108</v>
      </c>
      <c r="D79" s="2" t="s">
        <v>422</v>
      </c>
      <c r="E79" s="2" t="s">
        <v>423</v>
      </c>
      <c r="F79" s="2" t="s">
        <v>35</v>
      </c>
      <c r="G79" s="2" t="s">
        <v>36</v>
      </c>
      <c r="H79" s="1" t="s">
        <v>424</v>
      </c>
      <c r="I79" s="1" t="s">
        <v>38</v>
      </c>
      <c r="J79" s="2" t="s">
        <v>39</v>
      </c>
      <c r="K79" s="13" t="str" cm="1">
        <f t="array" ref="K79">IFERROR(
_xlfn.XLOOKUP(
1,
(TRIM(CLEAN(SUBSTITUTE([1]Main!$F$2:$F$5000,CHAR(160)," ")))=
TRIM(CLEAN(SUBSTITUTE($B79,CHAR(160)," "))))
*
(--TEXT([1]Main!$N$2:$N$5000,"dd/mm/yyyy")=
--TEXT($C79,"dd/mm/yyyy")),
[1]Main!$C$2:$C$5000
),
_xlfn.XLOOKUP(
1,
(TRIM(CLEAN(SUBSTITUTE([2]Main!$F$2:$F$5000,CHAR(160)," ")))=
TRIM(CLEAN(SUBSTITUTE($B79,CHAR(160)," "))))
*
(--TEXT([2]Main!$N$2:$N$5000,"dd/mm/yyyy")=
--TEXT($C79,"dd/mm/yyyy")),
[2]Main!$C$2:$C$5000,
"Không tìm thấy"
)
)</f>
        <v>001199026445</v>
      </c>
      <c r="L79" s="13" t="str" cm="1">
        <f t="array" ref="L79">IFERROR(
_xlfn.XLOOKUP(
1,
(TRIM(CLEAN(SUBSTITUTE([1]Main!$F$2:$F$5000,CHAR(160)," ")))=
TRIM(CLEAN(SUBSTITUTE($B79,CHAR(160)," "))))
*
(--TEXT([1]Main!$N$2:$N$5000,"dd/mm/yyyy")=
--TEXT($C79,"dd/mm/yyyy")),
[1]Main!$Q$2:$Q$5000
),
_xlfn.XLOOKUP(
1,
(TRIM(CLEAN(SUBSTITUTE([2]Main!$F$2:$F$5000,CHAR(160)," ")))=
TRIM(CLEAN(SUBSTITUTE($B79,CHAR(160)," "))))
*
(--TEXT([2]Main!$N$2:$N$5000,"dd/mm/yyyy")=
--TEXT($C79,"dd/mm/yyyy")),
[2]Main!$Q$2:$Q$5000,
"Không tìm thấy"
)
)</f>
        <v>Nữ</v>
      </c>
      <c r="M79" s="13" t="str" cm="1">
        <f t="array" ref="M79">IFERROR(
_xlfn.XLOOKUP(
1,
(TRIM(CLEAN(SUBSTITUTE([1]Main!$F$2:$F$5000,CHAR(160)," ")))=
TRIM(CLEAN(SUBSTITUTE($B79,CHAR(160)," "))))
*
(--TEXT([1]Main!$N$2:$N$5000,"dd/mm/yyyy")=
--TEXT($C79,"dd/mm/yyyy")),
[1]Main!$S$2:$S$5000
),
_xlfn.XLOOKUP(
1,
(TRIM(CLEAN(SUBSTITUTE([2]Main!$F$2:$F$5000,CHAR(160)," ")))=
TRIM(CLEAN(SUBSTITUTE($B79,CHAR(160)," "))))
*
(--TEXT([2]Main!$N$2:$N$5000,"dd/mm/yyyy")=
--TEXT($C79,"dd/mm/yyyy")),
[2]Main!$S$2:$S$5000,
"Không tìm thấy"
)
)</f>
        <v>VN</v>
      </c>
      <c r="N79" s="13" t="str" cm="1">
        <f t="array" ref="N79">IFERROR(
_xlfn.XLOOKUP(
1,
(TRIM(CLEAN(SUBSTITUTE([1]Main!$F$2:$F$5000,CHAR(160)," ")))=
TRIM(CLEAN(SUBSTITUTE($B79,CHAR(160)," "))))
*
(--TEXT([1]Main!$N$2:$N$5000,"dd/mm/yyyy")=
--TEXT($C79,"dd/mm/yyyy")),
[1]Main!$AL$2:$AL$5000
),
_xlfn.XLOOKUP(
1,
(TRIM(CLEAN(SUBSTITUTE([2]Main!$F$2:$F$5000,CHAR(160)," ")))=
TRIM(CLEAN(SUBSTITUTE($B79,CHAR(160)," "))))
*
(--TEXT([2]Main!$N$2:$N$5000,"dd/mm/yyyy")=
--TEXT($C79,"dd/mm/yyyy")),
[2]Main!$AL$2:$AL$5000,
"Không tìm thấy"
)
)</f>
        <v>Thành phố Hà Nội</v>
      </c>
      <c r="O79" s="10"/>
      <c r="P79" s="10"/>
      <c r="Q79" s="10"/>
      <c r="R79" s="10"/>
      <c r="S79" s="10"/>
      <c r="T79" s="3" t="s">
        <v>653</v>
      </c>
      <c r="U79" s="3"/>
      <c r="V79" s="3"/>
      <c r="W79" s="3" t="str">
        <f>IF(
    COUNTIFS(
        [1]Main!$F:$F,$B79,
        [1]Main!$N:$N,$C79
    )&gt;0,
    "Active",
    IF(
        COUNTIFS(
            [2]Main!$F:$F,$B79,
            [2]Main!$N:$N,$C79
        )&gt;0,
        "Inactive",
        "Không tìm thấy"
    )
)</f>
        <v>Active</v>
      </c>
      <c r="X79" s="15" t="str" cm="1">
        <f t="array" ref="X79">IFERROR(
_xlfn.XLOOKUP(
1,
(TRIM(CLEAN(SUBSTITUTE([2]Main!$F$2:$F$5000,CHAR(160)," ")))=
TRIM(CLEAN(SUBSTITUTE($B79,CHAR(160)," "))))
*
(--TEXT([2]Main!$N$2:$N$5000,"dd/mm/yyyy")=
--TEXT($C79,"dd/mm/yyyy")),
[2]Main!$AA$2:$AA$5000,
""
),
"")</f>
        <v/>
      </c>
      <c r="Y79" s="3"/>
      <c r="Z79" s="3"/>
      <c r="AA79" s="3"/>
      <c r="AB79" s="3"/>
    </row>
    <row r="80" spans="1:28" ht="38.25" customHeight="1" x14ac:dyDescent="0.25">
      <c r="A80" s="1">
        <v>79</v>
      </c>
      <c r="B80" s="2" t="s">
        <v>99</v>
      </c>
      <c r="C80" s="2" t="s">
        <v>425</v>
      </c>
      <c r="D80" s="2" t="s">
        <v>426</v>
      </c>
      <c r="E80" s="2" t="s">
        <v>19</v>
      </c>
      <c r="F80" s="2" t="s">
        <v>427</v>
      </c>
      <c r="G80" s="2" t="s">
        <v>398</v>
      </c>
      <c r="H80" s="1" t="s">
        <v>428</v>
      </c>
      <c r="I80" s="1" t="s">
        <v>14</v>
      </c>
      <c r="J80" s="2" t="s">
        <v>30</v>
      </c>
      <c r="K80" s="13" t="str" cm="1">
        <f t="array" ref="K80">IFERROR(
_xlfn.XLOOKUP(
1,
(TRIM(CLEAN(SUBSTITUTE([1]Main!$F$2:$F$5000,CHAR(160)," ")))=
TRIM(CLEAN(SUBSTITUTE($B80,CHAR(160)," "))))
*
(--TEXT([1]Main!$N$2:$N$5000,"dd/mm/yyyy")=
--TEXT($C80,"dd/mm/yyyy")),
[1]Main!$C$2:$C$5000
),
_xlfn.XLOOKUP(
1,
(TRIM(CLEAN(SUBSTITUTE([2]Main!$F$2:$F$5000,CHAR(160)," ")))=
TRIM(CLEAN(SUBSTITUTE($B80,CHAR(160)," "))))
*
(--TEXT([2]Main!$N$2:$N$5000,"dd/mm/yyyy")=
--TEXT($C80,"dd/mm/yyyy")),
[2]Main!$C$2:$C$5000,
"Không tìm thấy"
)
)</f>
        <v>034199001625</v>
      </c>
      <c r="L80" s="13" t="str" cm="1">
        <f t="array" ref="L80">IFERROR(
_xlfn.XLOOKUP(
1,
(TRIM(CLEAN(SUBSTITUTE([1]Main!$F$2:$F$5000,CHAR(160)," ")))=
TRIM(CLEAN(SUBSTITUTE($B80,CHAR(160)," "))))
*
(--TEXT([1]Main!$N$2:$N$5000,"dd/mm/yyyy")=
--TEXT($C80,"dd/mm/yyyy")),
[1]Main!$Q$2:$Q$5000
),
_xlfn.XLOOKUP(
1,
(TRIM(CLEAN(SUBSTITUTE([2]Main!$F$2:$F$5000,CHAR(160)," ")))=
TRIM(CLEAN(SUBSTITUTE($B80,CHAR(160)," "))))
*
(--TEXT([2]Main!$N$2:$N$5000,"dd/mm/yyyy")=
--TEXT($C80,"dd/mm/yyyy")),
[2]Main!$Q$2:$Q$5000,
"Không tìm thấy"
)
)</f>
        <v>Nữ</v>
      </c>
      <c r="M80" s="13" t="str" cm="1">
        <f t="array" ref="M80">IFERROR(
_xlfn.XLOOKUP(
1,
(TRIM(CLEAN(SUBSTITUTE([1]Main!$F$2:$F$5000,CHAR(160)," ")))=
TRIM(CLEAN(SUBSTITUTE($B80,CHAR(160)," "))))
*
(--TEXT([1]Main!$N$2:$N$5000,"dd/mm/yyyy")=
--TEXT($C80,"dd/mm/yyyy")),
[1]Main!$S$2:$S$5000
),
_xlfn.XLOOKUP(
1,
(TRIM(CLEAN(SUBSTITUTE([2]Main!$F$2:$F$5000,CHAR(160)," ")))=
TRIM(CLEAN(SUBSTITUTE($B80,CHAR(160)," "))))
*
(--TEXT([2]Main!$N$2:$N$5000,"dd/mm/yyyy")=
--TEXT($C80,"dd/mm/yyyy")),
[2]Main!$S$2:$S$5000,
"Không tìm thấy"
)
)</f>
        <v>VN</v>
      </c>
      <c r="N80" s="13" t="str" cm="1">
        <f t="array" ref="N80">IFERROR(
_xlfn.XLOOKUP(
1,
(TRIM(CLEAN(SUBSTITUTE([1]Main!$F$2:$F$5000,CHAR(160)," ")))=
TRIM(CLEAN(SUBSTITUTE($B80,CHAR(160)," "))))
*
(--TEXT([1]Main!$N$2:$N$5000,"dd/mm/yyyy")=
--TEXT($C80,"dd/mm/yyyy")),
[1]Main!$AL$2:$AL$5000
),
_xlfn.XLOOKUP(
1,
(TRIM(CLEAN(SUBSTITUTE([2]Main!$F$2:$F$5000,CHAR(160)," ")))=
TRIM(CLEAN(SUBSTITUTE($B80,CHAR(160)," "))))
*
(--TEXT([2]Main!$N$2:$N$5000,"dd/mm/yyyy")=
--TEXT($C80,"dd/mm/yyyy")),
[2]Main!$AL$2:$AL$5000,
"Không tìm thấy"
)
)</f>
        <v>Thành phố Hà Nội</v>
      </c>
      <c r="O80" s="10"/>
      <c r="P80" s="10"/>
      <c r="Q80" s="10"/>
      <c r="R80" s="10"/>
      <c r="S80" s="10"/>
      <c r="T80" s="3" t="s">
        <v>653</v>
      </c>
      <c r="U80" s="3"/>
      <c r="V80" s="3"/>
      <c r="W80" s="3" t="str">
        <f>IF(
    COUNTIFS(
        [1]Main!$F:$F,$B80,
        [1]Main!$N:$N,$C80
    )&gt;0,
    "Active",
    IF(
        COUNTIFS(
            [2]Main!$F:$F,$B80,
            [2]Main!$N:$N,$C80
        )&gt;0,
        "Inactive",
        "Không tìm thấy"
    )
)</f>
        <v>Active</v>
      </c>
      <c r="X80" s="15" t="str" cm="1">
        <f t="array" ref="X80">IFERROR(
_xlfn.XLOOKUP(
1,
(TRIM(CLEAN(SUBSTITUTE([2]Main!$F$2:$F$5000,CHAR(160)," ")))=
TRIM(CLEAN(SUBSTITUTE($B80,CHAR(160)," "))))
*
(--TEXT([2]Main!$N$2:$N$5000,"dd/mm/yyyy")=
--TEXT($C80,"dd/mm/yyyy")),
[2]Main!$AA$2:$AA$5000,
""
),
"")</f>
        <v/>
      </c>
      <c r="Y80" s="3"/>
      <c r="Z80" s="3"/>
      <c r="AA80" s="3"/>
      <c r="AB80" s="3"/>
    </row>
    <row r="81" spans="1:28" ht="25.5" customHeight="1" x14ac:dyDescent="0.25">
      <c r="A81" s="1">
        <v>80</v>
      </c>
      <c r="B81" s="2" t="s">
        <v>429</v>
      </c>
      <c r="C81" s="2" t="s">
        <v>430</v>
      </c>
      <c r="D81" s="2" t="s">
        <v>431</v>
      </c>
      <c r="E81" s="2" t="s">
        <v>432</v>
      </c>
      <c r="F81" s="2" t="s">
        <v>433</v>
      </c>
      <c r="G81" s="2" t="s">
        <v>434</v>
      </c>
      <c r="H81" s="1" t="s">
        <v>435</v>
      </c>
      <c r="I81" s="1" t="s">
        <v>14</v>
      </c>
      <c r="J81" s="2" t="s">
        <v>126</v>
      </c>
      <c r="K81" s="13" t="str" cm="1">
        <f t="array" ref="K81">IFERROR(
_xlfn.XLOOKUP(
1,
(TRIM(CLEAN(SUBSTITUTE([1]Main!$F$2:$F$5000,CHAR(160)," ")))=
TRIM(CLEAN(SUBSTITUTE($B81,CHAR(160)," "))))
*
(--TEXT([1]Main!$N$2:$N$5000,"dd/mm/yyyy")=
--TEXT($C81,"dd/mm/yyyy")),
[1]Main!$C$2:$C$5000
),
_xlfn.XLOOKUP(
1,
(TRIM(CLEAN(SUBSTITUTE([2]Main!$F$2:$F$5000,CHAR(160)," ")))=
TRIM(CLEAN(SUBSTITUTE($B81,CHAR(160)," "))))
*
(--TEXT([2]Main!$N$2:$N$5000,"dd/mm/yyyy")=
--TEXT($C81,"dd/mm/yyyy")),
[2]Main!$C$2:$C$5000,
"Không tìm thấy"
)
)</f>
        <v>036305003183</v>
      </c>
      <c r="L81" s="13" t="str" cm="1">
        <f t="array" ref="L81">IFERROR(
_xlfn.XLOOKUP(
1,
(TRIM(CLEAN(SUBSTITUTE([1]Main!$F$2:$F$5000,CHAR(160)," ")))=
TRIM(CLEAN(SUBSTITUTE($B81,CHAR(160)," "))))
*
(--TEXT([1]Main!$N$2:$N$5000,"dd/mm/yyyy")=
--TEXT($C81,"dd/mm/yyyy")),
[1]Main!$Q$2:$Q$5000
),
_xlfn.XLOOKUP(
1,
(TRIM(CLEAN(SUBSTITUTE([2]Main!$F$2:$F$5000,CHAR(160)," ")))=
TRIM(CLEAN(SUBSTITUTE($B81,CHAR(160)," "))))
*
(--TEXT([2]Main!$N$2:$N$5000,"dd/mm/yyyy")=
--TEXT($C81,"dd/mm/yyyy")),
[2]Main!$Q$2:$Q$5000,
"Không tìm thấy"
)
)</f>
        <v>Nữ</v>
      </c>
      <c r="M81" s="13" t="str" cm="1">
        <f t="array" ref="M81">IFERROR(
_xlfn.XLOOKUP(
1,
(TRIM(CLEAN(SUBSTITUTE([1]Main!$F$2:$F$5000,CHAR(160)," ")))=
TRIM(CLEAN(SUBSTITUTE($B81,CHAR(160)," "))))
*
(--TEXT([1]Main!$N$2:$N$5000,"dd/mm/yyyy")=
--TEXT($C81,"dd/mm/yyyy")),
[1]Main!$S$2:$S$5000
),
_xlfn.XLOOKUP(
1,
(TRIM(CLEAN(SUBSTITUTE([2]Main!$F$2:$F$5000,CHAR(160)," ")))=
TRIM(CLEAN(SUBSTITUTE($B81,CHAR(160)," "))))
*
(--TEXT([2]Main!$N$2:$N$5000,"dd/mm/yyyy")=
--TEXT($C81,"dd/mm/yyyy")),
[2]Main!$S$2:$S$5000,
"Không tìm thấy"
)
)</f>
        <v>VN</v>
      </c>
      <c r="N81" s="13" t="str" cm="1">
        <f t="array" ref="N81">IFERROR(
_xlfn.XLOOKUP(
1,
(TRIM(CLEAN(SUBSTITUTE([1]Main!$F$2:$F$5000,CHAR(160)," ")))=
TRIM(CLEAN(SUBSTITUTE($B81,CHAR(160)," "))))
*
(--TEXT([1]Main!$N$2:$N$5000,"dd/mm/yyyy")=
--TEXT($C81,"dd/mm/yyyy")),
[1]Main!$AL$2:$AL$5000
),
_xlfn.XLOOKUP(
1,
(TRIM(CLEAN(SUBSTITUTE([2]Main!$F$2:$F$5000,CHAR(160)," ")))=
TRIM(CLEAN(SUBSTITUTE($B81,CHAR(160)," "))))
*
(--TEXT([2]Main!$N$2:$N$5000,"dd/mm/yyyy")=
--TEXT($C81,"dd/mm/yyyy")),
[2]Main!$AL$2:$AL$5000,
"Không tìm thấy"
)
)</f>
        <v>Thành phố Hà Nội</v>
      </c>
      <c r="O81" s="10"/>
      <c r="P81" s="10"/>
      <c r="Q81" s="10"/>
      <c r="R81" s="10"/>
      <c r="S81" s="10"/>
      <c r="T81" s="3" t="s">
        <v>653</v>
      </c>
      <c r="U81" s="3"/>
      <c r="V81" s="3"/>
      <c r="W81" s="3" t="str">
        <f>IF(
    COUNTIFS(
        [1]Main!$F:$F,$B81,
        [1]Main!$N:$N,$C81
    )&gt;0,
    "Active",
    IF(
        COUNTIFS(
            [2]Main!$F:$F,$B81,
            [2]Main!$N:$N,$C81
        )&gt;0,
        "Inactive",
        "Không tìm thấy"
    )
)</f>
        <v>Active</v>
      </c>
      <c r="X81" s="15" t="str" cm="1">
        <f t="array" ref="X81">IFERROR(
_xlfn.XLOOKUP(
1,
(TRIM(CLEAN(SUBSTITUTE([2]Main!$F$2:$F$5000,CHAR(160)," ")))=
TRIM(CLEAN(SUBSTITUTE($B81,CHAR(160)," "))))
*
(--TEXT([2]Main!$N$2:$N$5000,"dd/mm/yyyy")=
--TEXT($C81,"dd/mm/yyyy")),
[2]Main!$AA$2:$AA$5000,
""
),
"")</f>
        <v/>
      </c>
      <c r="Y81" s="3"/>
      <c r="Z81" s="3"/>
      <c r="AA81" s="3"/>
      <c r="AB81" s="3"/>
    </row>
    <row r="82" spans="1:28" ht="38.25" customHeight="1" x14ac:dyDescent="0.25">
      <c r="A82" s="1">
        <v>81</v>
      </c>
      <c r="B82" s="2" t="s">
        <v>436</v>
      </c>
      <c r="C82" s="2" t="s">
        <v>437</v>
      </c>
      <c r="D82" s="2" t="s">
        <v>438</v>
      </c>
      <c r="E82" s="2" t="s">
        <v>439</v>
      </c>
      <c r="F82" s="2" t="s">
        <v>47</v>
      </c>
      <c r="G82" s="2" t="s">
        <v>48</v>
      </c>
      <c r="H82" s="1" t="s">
        <v>440</v>
      </c>
      <c r="I82" s="1" t="s">
        <v>38</v>
      </c>
      <c r="J82" s="2" t="s">
        <v>39</v>
      </c>
      <c r="K82" s="13" t="str" cm="1">
        <f t="array" ref="K82">IFERROR(
_xlfn.XLOOKUP(
1,
(TRIM(CLEAN(SUBSTITUTE([1]Main!$F$2:$F$5000,CHAR(160)," ")))=
TRIM(CLEAN(SUBSTITUTE($B82,CHAR(160)," "))))
*
(--TEXT([1]Main!$N$2:$N$5000,"dd/mm/yyyy")=
--TEXT($C82,"dd/mm/yyyy")),
[1]Main!$C$2:$C$5000
),
_xlfn.XLOOKUP(
1,
(TRIM(CLEAN(SUBSTITUTE([2]Main!$F$2:$F$5000,CHAR(160)," ")))=
TRIM(CLEAN(SUBSTITUTE($B82,CHAR(160)," "))))
*
(--TEXT([2]Main!$N$2:$N$5000,"dd/mm/yyyy")=
--TEXT($C82,"dd/mm/yyyy")),
[2]Main!$C$2:$C$5000,
"Không tìm thấy"
)
)</f>
        <v>034196002924</v>
      </c>
      <c r="L82" s="13" t="str" cm="1">
        <f t="array" ref="L82">IFERROR(
_xlfn.XLOOKUP(
1,
(TRIM(CLEAN(SUBSTITUTE([1]Main!$F$2:$F$5000,CHAR(160)," ")))=
TRIM(CLEAN(SUBSTITUTE($B82,CHAR(160)," "))))
*
(--TEXT([1]Main!$N$2:$N$5000,"dd/mm/yyyy")=
--TEXT($C82,"dd/mm/yyyy")),
[1]Main!$Q$2:$Q$5000
),
_xlfn.XLOOKUP(
1,
(TRIM(CLEAN(SUBSTITUTE([2]Main!$F$2:$F$5000,CHAR(160)," ")))=
TRIM(CLEAN(SUBSTITUTE($B82,CHAR(160)," "))))
*
(--TEXT([2]Main!$N$2:$N$5000,"dd/mm/yyyy")=
--TEXT($C82,"dd/mm/yyyy")),
[2]Main!$Q$2:$Q$5000,
"Không tìm thấy"
)
)</f>
        <v>Nữ</v>
      </c>
      <c r="M82" s="13" t="str" cm="1">
        <f t="array" ref="M82">IFERROR(
_xlfn.XLOOKUP(
1,
(TRIM(CLEAN(SUBSTITUTE([1]Main!$F$2:$F$5000,CHAR(160)," ")))=
TRIM(CLEAN(SUBSTITUTE($B82,CHAR(160)," "))))
*
(--TEXT([1]Main!$N$2:$N$5000,"dd/mm/yyyy")=
--TEXT($C82,"dd/mm/yyyy")),
[1]Main!$S$2:$S$5000
),
_xlfn.XLOOKUP(
1,
(TRIM(CLEAN(SUBSTITUTE([2]Main!$F$2:$F$5000,CHAR(160)," ")))=
TRIM(CLEAN(SUBSTITUTE($B82,CHAR(160)," "))))
*
(--TEXT([2]Main!$N$2:$N$5000,"dd/mm/yyyy")=
--TEXT($C82,"dd/mm/yyyy")),
[2]Main!$S$2:$S$5000,
"Không tìm thấy"
)
)</f>
        <v>VN</v>
      </c>
      <c r="N82" s="13" t="str" cm="1">
        <f t="array" ref="N82">IFERROR(
_xlfn.XLOOKUP(
1,
(TRIM(CLEAN(SUBSTITUTE([1]Main!$F$2:$F$5000,CHAR(160)," ")))=
TRIM(CLEAN(SUBSTITUTE($B82,CHAR(160)," "))))
*
(--TEXT([1]Main!$N$2:$N$5000,"dd/mm/yyyy")=
--TEXT($C82,"dd/mm/yyyy")),
[1]Main!$AL$2:$AL$5000
),
_xlfn.XLOOKUP(
1,
(TRIM(CLEAN(SUBSTITUTE([2]Main!$F$2:$F$5000,CHAR(160)," ")))=
TRIM(CLEAN(SUBSTITUTE($B82,CHAR(160)," "))))
*
(--TEXT([2]Main!$N$2:$N$5000,"dd/mm/yyyy")=
--TEXT($C82,"dd/mm/yyyy")),
[2]Main!$AL$2:$AL$5000,
"Không tìm thấy"
)
)</f>
        <v>Thành phố Hà Nội</v>
      </c>
      <c r="O82" s="10"/>
      <c r="P82" s="10"/>
      <c r="Q82" s="10"/>
      <c r="R82" s="10"/>
      <c r="S82" s="10"/>
      <c r="T82" s="3" t="s">
        <v>653</v>
      </c>
      <c r="U82" s="3"/>
      <c r="V82" s="3"/>
      <c r="W82" s="3" t="str">
        <f>IF(
    COUNTIFS(
        [1]Main!$F:$F,$B82,
        [1]Main!$N:$N,$C82
    )&gt;0,
    "Active",
    IF(
        COUNTIFS(
            [2]Main!$F:$F,$B82,
            [2]Main!$N:$N,$C82
        )&gt;0,
        "Inactive",
        "Không tìm thấy"
    )
)</f>
        <v>Active</v>
      </c>
      <c r="X82" s="15" t="str" cm="1">
        <f t="array" ref="X82">IFERROR(
_xlfn.XLOOKUP(
1,
(TRIM(CLEAN(SUBSTITUTE([2]Main!$F$2:$F$5000,CHAR(160)," ")))=
TRIM(CLEAN(SUBSTITUTE($B82,CHAR(160)," "))))
*
(--TEXT([2]Main!$N$2:$N$5000,"dd/mm/yyyy")=
--TEXT($C82,"dd/mm/yyyy")),
[2]Main!$AA$2:$AA$5000,
""
),
"")</f>
        <v/>
      </c>
      <c r="Y82" s="3"/>
      <c r="Z82" s="3"/>
      <c r="AA82" s="3"/>
      <c r="AB82" s="3"/>
    </row>
    <row r="83" spans="1:28" ht="25.5" customHeight="1" x14ac:dyDescent="0.25">
      <c r="A83" s="1">
        <v>82</v>
      </c>
      <c r="B83" s="2" t="s">
        <v>441</v>
      </c>
      <c r="C83" s="2" t="s">
        <v>442</v>
      </c>
      <c r="D83" s="2" t="s">
        <v>443</v>
      </c>
      <c r="E83" s="2" t="s">
        <v>444</v>
      </c>
      <c r="F83" s="2" t="s">
        <v>61</v>
      </c>
      <c r="G83" s="2" t="s">
        <v>445</v>
      </c>
      <c r="H83" s="1" t="s">
        <v>440</v>
      </c>
      <c r="I83" s="1" t="s">
        <v>14</v>
      </c>
      <c r="J83" s="2" t="s">
        <v>126</v>
      </c>
      <c r="K83" s="13" t="str" cm="1">
        <f t="array" ref="K83">IFERROR(
_xlfn.XLOOKUP(
1,
(TRIM(CLEAN(SUBSTITUTE([1]Main!$F$2:$F$5000,CHAR(160)," ")))=
TRIM(CLEAN(SUBSTITUTE($B83,CHAR(160)," "))))
*
(--TEXT([1]Main!$N$2:$N$5000,"dd/mm/yyyy")=
--TEXT($C83,"dd/mm/yyyy")),
[1]Main!$C$2:$C$5000
),
_xlfn.XLOOKUP(
1,
(TRIM(CLEAN(SUBSTITUTE([2]Main!$F$2:$F$5000,CHAR(160)," ")))=
TRIM(CLEAN(SUBSTITUTE($B83,CHAR(160)," "))))
*
(--TEXT([2]Main!$N$2:$N$5000,"dd/mm/yyyy")=
--TEXT($C83,"dd/mm/yyyy")),
[2]Main!$C$2:$C$5000,
"Không tìm thấy"
)
)</f>
        <v>031302004995</v>
      </c>
      <c r="L83" s="13" t="str" cm="1">
        <f t="array" ref="L83">IFERROR(
_xlfn.XLOOKUP(
1,
(TRIM(CLEAN(SUBSTITUTE([1]Main!$F$2:$F$5000,CHAR(160)," ")))=
TRIM(CLEAN(SUBSTITUTE($B83,CHAR(160)," "))))
*
(--TEXT([1]Main!$N$2:$N$5000,"dd/mm/yyyy")=
--TEXT($C83,"dd/mm/yyyy")),
[1]Main!$Q$2:$Q$5000
),
_xlfn.XLOOKUP(
1,
(TRIM(CLEAN(SUBSTITUTE([2]Main!$F$2:$F$5000,CHAR(160)," ")))=
TRIM(CLEAN(SUBSTITUTE($B83,CHAR(160)," "))))
*
(--TEXT([2]Main!$N$2:$N$5000,"dd/mm/yyyy")=
--TEXT($C83,"dd/mm/yyyy")),
[2]Main!$Q$2:$Q$5000,
"Không tìm thấy"
)
)</f>
        <v>Nữ</v>
      </c>
      <c r="M83" s="13" t="str" cm="1">
        <f t="array" ref="M83">IFERROR(
_xlfn.XLOOKUP(
1,
(TRIM(CLEAN(SUBSTITUTE([1]Main!$F$2:$F$5000,CHAR(160)," ")))=
TRIM(CLEAN(SUBSTITUTE($B83,CHAR(160)," "))))
*
(--TEXT([1]Main!$N$2:$N$5000,"dd/mm/yyyy")=
--TEXT($C83,"dd/mm/yyyy")),
[1]Main!$S$2:$S$5000
),
_xlfn.XLOOKUP(
1,
(TRIM(CLEAN(SUBSTITUTE([2]Main!$F$2:$F$5000,CHAR(160)," ")))=
TRIM(CLEAN(SUBSTITUTE($B83,CHAR(160)," "))))
*
(--TEXT([2]Main!$N$2:$N$5000,"dd/mm/yyyy")=
--TEXT($C83,"dd/mm/yyyy")),
[2]Main!$S$2:$S$5000,
"Không tìm thấy"
)
)</f>
        <v>VN</v>
      </c>
      <c r="N83" s="13" t="str" cm="1">
        <f t="array" ref="N83">IFERROR(
_xlfn.XLOOKUP(
1,
(TRIM(CLEAN(SUBSTITUTE([1]Main!$F$2:$F$5000,CHAR(160)," ")))=
TRIM(CLEAN(SUBSTITUTE($B83,CHAR(160)," "))))
*
(--TEXT([1]Main!$N$2:$N$5000,"dd/mm/yyyy")=
--TEXT($C83,"dd/mm/yyyy")),
[1]Main!$AL$2:$AL$5000
),
_xlfn.XLOOKUP(
1,
(TRIM(CLEAN(SUBSTITUTE([2]Main!$F$2:$F$5000,CHAR(160)," ")))=
TRIM(CLEAN(SUBSTITUTE($B83,CHAR(160)," "))))
*
(--TEXT([2]Main!$N$2:$N$5000,"dd/mm/yyyy")=
--TEXT($C83,"dd/mm/yyyy")),
[2]Main!$AL$2:$AL$5000,
"Không tìm thấy"
)
)</f>
        <v>Thành phố Hà Nội</v>
      </c>
      <c r="O83" s="10"/>
      <c r="P83" s="10"/>
      <c r="Q83" s="10"/>
      <c r="R83" s="10"/>
      <c r="S83" s="10"/>
      <c r="T83" s="3" t="s">
        <v>653</v>
      </c>
      <c r="U83" s="3"/>
      <c r="V83" s="3"/>
      <c r="W83" s="3" t="str">
        <f>IF(
    COUNTIFS(
        [1]Main!$F:$F,$B83,
        [1]Main!$N:$N,$C83
    )&gt;0,
    "Active",
    IF(
        COUNTIFS(
            [2]Main!$F:$F,$B83,
            [2]Main!$N:$N,$C83
        )&gt;0,
        "Inactive",
        "Không tìm thấy"
    )
)</f>
        <v>Active</v>
      </c>
      <c r="X83" s="15" t="str" cm="1">
        <f t="array" ref="X83">IFERROR(
_xlfn.XLOOKUP(
1,
(TRIM(CLEAN(SUBSTITUTE([2]Main!$F$2:$F$5000,CHAR(160)," ")))=
TRIM(CLEAN(SUBSTITUTE($B83,CHAR(160)," "))))
*
(--TEXT([2]Main!$N$2:$N$5000,"dd/mm/yyyy")=
--TEXT($C83,"dd/mm/yyyy")),
[2]Main!$AA$2:$AA$5000,
""
),
"")</f>
        <v/>
      </c>
      <c r="Y83" s="3"/>
      <c r="Z83" s="3"/>
      <c r="AA83" s="3"/>
      <c r="AB83" s="3"/>
    </row>
    <row r="84" spans="1:28" ht="38.25" customHeight="1" x14ac:dyDescent="0.25">
      <c r="A84" s="1">
        <v>83</v>
      </c>
      <c r="B84" s="2" t="s">
        <v>446</v>
      </c>
      <c r="C84" s="2" t="s">
        <v>447</v>
      </c>
      <c r="D84" s="2" t="s">
        <v>448</v>
      </c>
      <c r="E84" s="2" t="s">
        <v>271</v>
      </c>
      <c r="F84" s="2" t="s">
        <v>315</v>
      </c>
      <c r="G84" s="2" t="s">
        <v>266</v>
      </c>
      <c r="H84" s="1" t="s">
        <v>449</v>
      </c>
      <c r="I84" s="1" t="s">
        <v>38</v>
      </c>
      <c r="J84" s="2" t="s">
        <v>70</v>
      </c>
      <c r="K84" s="13" t="str" cm="1">
        <f t="array" ref="K84">IFERROR(
_xlfn.XLOOKUP(
1,
(TRIM(CLEAN(SUBSTITUTE([1]Main!$F$2:$F$5000,CHAR(160)," ")))=
TRIM(CLEAN(SUBSTITUTE($B84,CHAR(160)," "))))
*
(--TEXT([1]Main!$N$2:$N$5000,"dd/mm/yyyy")=
--TEXT($C84,"dd/mm/yyyy")),
[1]Main!$C$2:$C$5000
),
_xlfn.XLOOKUP(
1,
(TRIM(CLEAN(SUBSTITUTE([2]Main!$F$2:$F$5000,CHAR(160)," ")))=
TRIM(CLEAN(SUBSTITUTE($B84,CHAR(160)," "))))
*
(--TEXT([2]Main!$N$2:$N$5000,"dd/mm/yyyy")=
--TEXT($C84,"dd/mm/yyyy")),
[2]Main!$C$2:$C$5000,
"Không tìm thấy"
)
)</f>
        <v>006099004606</v>
      </c>
      <c r="L84" s="13" t="str" cm="1">
        <f t="array" ref="L84">IFERROR(
_xlfn.XLOOKUP(
1,
(TRIM(CLEAN(SUBSTITUTE([1]Main!$F$2:$F$5000,CHAR(160)," ")))=
TRIM(CLEAN(SUBSTITUTE($B84,CHAR(160)," "))))
*
(--TEXT([1]Main!$N$2:$N$5000,"dd/mm/yyyy")=
--TEXT($C84,"dd/mm/yyyy")),
[1]Main!$Q$2:$Q$5000
),
_xlfn.XLOOKUP(
1,
(TRIM(CLEAN(SUBSTITUTE([2]Main!$F$2:$F$5000,CHAR(160)," ")))=
TRIM(CLEAN(SUBSTITUTE($B84,CHAR(160)," "))))
*
(--TEXT([2]Main!$N$2:$N$5000,"dd/mm/yyyy")=
--TEXT($C84,"dd/mm/yyyy")),
[2]Main!$Q$2:$Q$5000,
"Không tìm thấy"
)
)</f>
        <v>Nam</v>
      </c>
      <c r="M84" s="13" t="str" cm="1">
        <f t="array" ref="M84">IFERROR(
_xlfn.XLOOKUP(
1,
(TRIM(CLEAN(SUBSTITUTE([1]Main!$F$2:$F$5000,CHAR(160)," ")))=
TRIM(CLEAN(SUBSTITUTE($B84,CHAR(160)," "))))
*
(--TEXT([1]Main!$N$2:$N$5000,"dd/mm/yyyy")=
--TEXT($C84,"dd/mm/yyyy")),
[1]Main!$S$2:$S$5000
),
_xlfn.XLOOKUP(
1,
(TRIM(CLEAN(SUBSTITUTE([2]Main!$F$2:$F$5000,CHAR(160)," ")))=
TRIM(CLEAN(SUBSTITUTE($B84,CHAR(160)," "))))
*
(--TEXT([2]Main!$N$2:$N$5000,"dd/mm/yyyy")=
--TEXT($C84,"dd/mm/yyyy")),
[2]Main!$S$2:$S$5000,
"Không tìm thấy"
)
)</f>
        <v>VN</v>
      </c>
      <c r="N84" s="13" t="str" cm="1">
        <f t="array" ref="N84">IFERROR(
_xlfn.XLOOKUP(
1,
(TRIM(CLEAN(SUBSTITUTE([1]Main!$F$2:$F$5000,CHAR(160)," ")))=
TRIM(CLEAN(SUBSTITUTE($B84,CHAR(160)," "))))
*
(--TEXT([1]Main!$N$2:$N$5000,"dd/mm/yyyy")=
--TEXT($C84,"dd/mm/yyyy")),
[1]Main!$AL$2:$AL$5000
),
_xlfn.XLOOKUP(
1,
(TRIM(CLEAN(SUBSTITUTE([2]Main!$F$2:$F$5000,CHAR(160)," ")))=
TRIM(CLEAN(SUBSTITUTE($B84,CHAR(160)," "))))
*
(--TEXT([2]Main!$N$2:$N$5000,"dd/mm/yyyy")=
--TEXT($C84,"dd/mm/yyyy")),
[2]Main!$AL$2:$AL$5000,
"Không tìm thấy"
)
)</f>
        <v>Thành phố Hà Nội</v>
      </c>
      <c r="O84" s="10"/>
      <c r="P84" s="10"/>
      <c r="Q84" s="10"/>
      <c r="R84" s="10"/>
      <c r="S84" s="10"/>
      <c r="T84" s="3" t="s">
        <v>653</v>
      </c>
      <c r="U84" s="3"/>
      <c r="V84" s="3"/>
      <c r="W84" s="3" t="str">
        <f>IF(
    COUNTIFS(
        [1]Main!$F:$F,$B84,
        [1]Main!$N:$N,$C84
    )&gt;0,
    "Active",
    IF(
        COUNTIFS(
            [2]Main!$F:$F,$B84,
            [2]Main!$N:$N,$C84
        )&gt;0,
        "Inactive",
        "Không tìm thấy"
    )
)</f>
        <v>Active</v>
      </c>
      <c r="X84" s="15" t="str" cm="1">
        <f t="array" ref="X84">IFERROR(
_xlfn.XLOOKUP(
1,
(TRIM(CLEAN(SUBSTITUTE([2]Main!$F$2:$F$5000,CHAR(160)," ")))=
TRIM(CLEAN(SUBSTITUTE($B84,CHAR(160)," "))))
*
(--TEXT([2]Main!$N$2:$N$5000,"dd/mm/yyyy")=
--TEXT($C84,"dd/mm/yyyy")),
[2]Main!$AA$2:$AA$5000,
""
),
"")</f>
        <v/>
      </c>
      <c r="Y84" s="3"/>
      <c r="Z84" s="3"/>
      <c r="AA84" s="3"/>
      <c r="AB84" s="3"/>
    </row>
    <row r="85" spans="1:28" ht="38.25" customHeight="1" x14ac:dyDescent="0.25">
      <c r="A85" s="1">
        <v>84</v>
      </c>
      <c r="B85" s="2" t="s">
        <v>450</v>
      </c>
      <c r="C85" s="2" t="s">
        <v>451</v>
      </c>
      <c r="D85" s="2" t="s">
        <v>452</v>
      </c>
      <c r="E85" s="2" t="s">
        <v>53</v>
      </c>
      <c r="F85" s="2" t="s">
        <v>374</v>
      </c>
      <c r="G85" s="2" t="s">
        <v>453</v>
      </c>
      <c r="H85" s="1" t="s">
        <v>454</v>
      </c>
      <c r="I85" s="1" t="s">
        <v>14</v>
      </c>
      <c r="J85" s="2" t="s">
        <v>15</v>
      </c>
      <c r="K85" s="13" t="str" cm="1">
        <f t="array" ref="K85">IFERROR(
_xlfn.XLOOKUP(
1,
(TRIM(CLEAN(SUBSTITUTE([1]Main!$F$2:$F$5000,CHAR(160)," ")))=
TRIM(CLEAN(SUBSTITUTE($B85,CHAR(160)," "))))
*
(--TEXT([1]Main!$N$2:$N$5000,"dd/mm/yyyy")=
--TEXT($C85,"dd/mm/yyyy")),
[1]Main!$C$2:$C$5000
),
_xlfn.XLOOKUP(
1,
(TRIM(CLEAN(SUBSTITUTE([2]Main!$F$2:$F$5000,CHAR(160)," ")))=
TRIM(CLEAN(SUBSTITUTE($B85,CHAR(160)," "))))
*
(--TEXT([2]Main!$N$2:$N$5000,"dd/mm/yyyy")=
--TEXT($C85,"dd/mm/yyyy")),
[2]Main!$C$2:$C$5000,
"Không tìm thấy"
)
)</f>
        <v>001196002416</v>
      </c>
      <c r="L85" s="13" t="str" cm="1">
        <f t="array" ref="L85">IFERROR(
_xlfn.XLOOKUP(
1,
(TRIM(CLEAN(SUBSTITUTE([1]Main!$F$2:$F$5000,CHAR(160)," ")))=
TRIM(CLEAN(SUBSTITUTE($B85,CHAR(160)," "))))
*
(--TEXT([1]Main!$N$2:$N$5000,"dd/mm/yyyy")=
--TEXT($C85,"dd/mm/yyyy")),
[1]Main!$Q$2:$Q$5000
),
_xlfn.XLOOKUP(
1,
(TRIM(CLEAN(SUBSTITUTE([2]Main!$F$2:$F$5000,CHAR(160)," ")))=
TRIM(CLEAN(SUBSTITUTE($B85,CHAR(160)," "))))
*
(--TEXT([2]Main!$N$2:$N$5000,"dd/mm/yyyy")=
--TEXT($C85,"dd/mm/yyyy")),
[2]Main!$Q$2:$Q$5000,
"Không tìm thấy"
)
)</f>
        <v>Nữ</v>
      </c>
      <c r="M85" s="13" t="str" cm="1">
        <f t="array" ref="M85">IFERROR(
_xlfn.XLOOKUP(
1,
(TRIM(CLEAN(SUBSTITUTE([1]Main!$F$2:$F$5000,CHAR(160)," ")))=
TRIM(CLEAN(SUBSTITUTE($B85,CHAR(160)," "))))
*
(--TEXT([1]Main!$N$2:$N$5000,"dd/mm/yyyy")=
--TEXT($C85,"dd/mm/yyyy")),
[1]Main!$S$2:$S$5000
),
_xlfn.XLOOKUP(
1,
(TRIM(CLEAN(SUBSTITUTE([2]Main!$F$2:$F$5000,CHAR(160)," ")))=
TRIM(CLEAN(SUBSTITUTE($B85,CHAR(160)," "))))
*
(--TEXT([2]Main!$N$2:$N$5000,"dd/mm/yyyy")=
--TEXT($C85,"dd/mm/yyyy")),
[2]Main!$S$2:$S$5000,
"Không tìm thấy"
)
)</f>
        <v>VN</v>
      </c>
      <c r="N85" s="13" t="str" cm="1">
        <f t="array" ref="N85">IFERROR(
_xlfn.XLOOKUP(
1,
(TRIM(CLEAN(SUBSTITUTE([1]Main!$F$2:$F$5000,CHAR(160)," ")))=
TRIM(CLEAN(SUBSTITUTE($B85,CHAR(160)," "))))
*
(--TEXT([1]Main!$N$2:$N$5000,"dd/mm/yyyy")=
--TEXT($C85,"dd/mm/yyyy")),
[1]Main!$AL$2:$AL$5000
),
_xlfn.XLOOKUP(
1,
(TRIM(CLEAN(SUBSTITUTE([2]Main!$F$2:$F$5000,CHAR(160)," ")))=
TRIM(CLEAN(SUBSTITUTE($B85,CHAR(160)," "))))
*
(--TEXT([2]Main!$N$2:$N$5000,"dd/mm/yyyy")=
--TEXT($C85,"dd/mm/yyyy")),
[2]Main!$AL$2:$AL$5000,
"Không tìm thấy"
)
)</f>
        <v>Thành phố Hà Nội</v>
      </c>
      <c r="O85" s="10"/>
      <c r="P85" s="10"/>
      <c r="Q85" s="10"/>
      <c r="R85" s="10"/>
      <c r="S85" s="10"/>
      <c r="T85" s="3" t="s">
        <v>653</v>
      </c>
      <c r="U85" s="3"/>
      <c r="V85" s="3"/>
      <c r="W85" s="3" t="str">
        <f>IF(
    COUNTIFS(
        [1]Main!$F:$F,$B85,
        [1]Main!$N:$N,$C85
    )&gt;0,
    "Active",
    IF(
        COUNTIFS(
            [2]Main!$F:$F,$B85,
            [2]Main!$N:$N,$C85
        )&gt;0,
        "Inactive",
        "Không tìm thấy"
    )
)</f>
        <v>Active</v>
      </c>
      <c r="X85" s="15" t="str" cm="1">
        <f t="array" ref="X85">IFERROR(
_xlfn.XLOOKUP(
1,
(TRIM(CLEAN(SUBSTITUTE([2]Main!$F$2:$F$5000,CHAR(160)," ")))=
TRIM(CLEAN(SUBSTITUTE($B85,CHAR(160)," "))))
*
(--TEXT([2]Main!$N$2:$N$5000,"dd/mm/yyyy")=
--TEXT($C85,"dd/mm/yyyy")),
[2]Main!$AA$2:$AA$5000,
""
),
"")</f>
        <v/>
      </c>
      <c r="Y85" s="3"/>
      <c r="Z85" s="3"/>
      <c r="AA85" s="3"/>
      <c r="AB85" s="3"/>
    </row>
    <row r="86" spans="1:28" ht="38.25" customHeight="1" x14ac:dyDescent="0.25">
      <c r="A86" s="1">
        <v>85</v>
      </c>
      <c r="B86" s="2" t="s">
        <v>455</v>
      </c>
      <c r="C86" s="2" t="s">
        <v>456</v>
      </c>
      <c r="D86" s="2" t="s">
        <v>457</v>
      </c>
      <c r="E86" s="2" t="s">
        <v>458</v>
      </c>
      <c r="F86" s="2" t="s">
        <v>118</v>
      </c>
      <c r="G86" s="2" t="s">
        <v>119</v>
      </c>
      <c r="H86" s="1" t="s">
        <v>459</v>
      </c>
      <c r="I86" s="1" t="s">
        <v>14</v>
      </c>
      <c r="J86" s="2" t="s">
        <v>30</v>
      </c>
      <c r="K86" s="13" t="str" cm="1">
        <f t="array" ref="K86">IFERROR(
_xlfn.XLOOKUP(
1,
(TRIM(CLEAN(SUBSTITUTE([1]Main!$F$2:$F$5000,CHAR(160)," ")))=
TRIM(CLEAN(SUBSTITUTE($B86,CHAR(160)," "))))
*
(--TEXT([1]Main!$N$2:$N$5000,"dd/mm/yyyy")=
--TEXT($C86,"dd/mm/yyyy")),
[1]Main!$C$2:$C$5000
),
_xlfn.XLOOKUP(
1,
(TRIM(CLEAN(SUBSTITUTE([2]Main!$F$2:$F$5000,CHAR(160)," ")))=
TRIM(CLEAN(SUBSTITUTE($B86,CHAR(160)," "))))
*
(--TEXT([2]Main!$N$2:$N$5000,"dd/mm/yyyy")=
--TEXT($C86,"dd/mm/yyyy")),
[2]Main!$C$2:$C$5000,
"Không tìm thấy"
)
)</f>
        <v>031097006787</v>
      </c>
      <c r="L86" s="13" t="str" cm="1">
        <f t="array" ref="L86">IFERROR(
_xlfn.XLOOKUP(
1,
(TRIM(CLEAN(SUBSTITUTE([1]Main!$F$2:$F$5000,CHAR(160)," ")))=
TRIM(CLEAN(SUBSTITUTE($B86,CHAR(160)," "))))
*
(--TEXT([1]Main!$N$2:$N$5000,"dd/mm/yyyy")=
--TEXT($C86,"dd/mm/yyyy")),
[1]Main!$Q$2:$Q$5000
),
_xlfn.XLOOKUP(
1,
(TRIM(CLEAN(SUBSTITUTE([2]Main!$F$2:$F$5000,CHAR(160)," ")))=
TRIM(CLEAN(SUBSTITUTE($B86,CHAR(160)," "))))
*
(--TEXT([2]Main!$N$2:$N$5000,"dd/mm/yyyy")=
--TEXT($C86,"dd/mm/yyyy")),
[2]Main!$Q$2:$Q$5000,
"Không tìm thấy"
)
)</f>
        <v>Nam</v>
      </c>
      <c r="M86" s="13" t="str" cm="1">
        <f t="array" ref="M86">IFERROR(
_xlfn.XLOOKUP(
1,
(TRIM(CLEAN(SUBSTITUTE([1]Main!$F$2:$F$5000,CHAR(160)," ")))=
TRIM(CLEAN(SUBSTITUTE($B86,CHAR(160)," "))))
*
(--TEXT([1]Main!$N$2:$N$5000,"dd/mm/yyyy")=
--TEXT($C86,"dd/mm/yyyy")),
[1]Main!$S$2:$S$5000
),
_xlfn.XLOOKUP(
1,
(TRIM(CLEAN(SUBSTITUTE([2]Main!$F$2:$F$5000,CHAR(160)," ")))=
TRIM(CLEAN(SUBSTITUTE($B86,CHAR(160)," "))))
*
(--TEXT([2]Main!$N$2:$N$5000,"dd/mm/yyyy")=
--TEXT($C86,"dd/mm/yyyy")),
[2]Main!$S$2:$S$5000,
"Không tìm thấy"
)
)</f>
        <v>VN</v>
      </c>
      <c r="N86" s="13" cm="1">
        <f t="array" ref="N86">IFERROR(
_xlfn.XLOOKUP(
1,
(TRIM(CLEAN(SUBSTITUTE([1]Main!$F$2:$F$5000,CHAR(160)," ")))=
TRIM(CLEAN(SUBSTITUTE($B86,CHAR(160)," "))))
*
(--TEXT([1]Main!$N$2:$N$5000,"dd/mm/yyyy")=
--TEXT($C86,"dd/mm/yyyy")),
[1]Main!$AL$2:$AL$5000
),
_xlfn.XLOOKUP(
1,
(TRIM(CLEAN(SUBSTITUTE([2]Main!$F$2:$F$5000,CHAR(160)," ")))=
TRIM(CLEAN(SUBSTITUTE($B86,CHAR(160)," "))))
*
(--TEXT([2]Main!$N$2:$N$5000,"dd/mm/yyyy")=
--TEXT($C86,"dd/mm/yyyy")),
[2]Main!$AL$2:$AL$5000,
"Không tìm thấy"
)
)</f>
        <v>0</v>
      </c>
      <c r="O86" s="10"/>
      <c r="P86" s="10"/>
      <c r="Q86" s="10"/>
      <c r="R86" s="10"/>
      <c r="S86" s="10"/>
      <c r="T86" s="3" t="s">
        <v>653</v>
      </c>
      <c r="U86" s="3"/>
      <c r="V86" s="3"/>
      <c r="W86" s="3" t="str">
        <f>IF(
    COUNTIFS(
        [1]Main!$F:$F,$B86,
        [1]Main!$N:$N,$C86
    )&gt;0,
    "Active",
    IF(
        COUNTIFS(
            [2]Main!$F:$F,$B86,
            [2]Main!$N:$N,$C86
        )&gt;0,
        "Inactive",
        "Không tìm thấy"
    )
)</f>
        <v>Active</v>
      </c>
      <c r="X86" s="15" t="str" cm="1">
        <f t="array" ref="X86">IFERROR(
_xlfn.XLOOKUP(
1,
(TRIM(CLEAN(SUBSTITUTE([2]Main!$F$2:$F$5000,CHAR(160)," ")))=
TRIM(CLEAN(SUBSTITUTE($B86,CHAR(160)," "))))
*
(--TEXT([2]Main!$N$2:$N$5000,"dd/mm/yyyy")=
--TEXT($C86,"dd/mm/yyyy")),
[2]Main!$AA$2:$AA$5000,
""
),
"")</f>
        <v/>
      </c>
      <c r="Y86" s="3"/>
      <c r="Z86" s="3"/>
      <c r="AA86" s="3"/>
      <c r="AB86" s="3"/>
    </row>
    <row r="87" spans="1:28" ht="25.5" customHeight="1" x14ac:dyDescent="0.25">
      <c r="A87" s="1">
        <v>86</v>
      </c>
      <c r="B87" s="2" t="s">
        <v>460</v>
      </c>
      <c r="C87" s="2" t="s">
        <v>461</v>
      </c>
      <c r="D87" s="2" t="s">
        <v>462</v>
      </c>
      <c r="E87" s="2" t="s">
        <v>463</v>
      </c>
      <c r="F87" s="2" t="s">
        <v>47</v>
      </c>
      <c r="G87" s="2" t="s">
        <v>321</v>
      </c>
      <c r="H87" s="1" t="s">
        <v>464</v>
      </c>
      <c r="I87" s="1" t="s">
        <v>38</v>
      </c>
      <c r="J87" s="2" t="s">
        <v>15</v>
      </c>
      <c r="K87" s="13" t="str" cm="1">
        <f t="array" ref="K87">IFERROR(
_xlfn.XLOOKUP(
1,
(TRIM(CLEAN(SUBSTITUTE([1]Main!$F$2:$F$5000,CHAR(160)," ")))=
TRIM(CLEAN(SUBSTITUTE($B87,CHAR(160)," "))))
*
(--TEXT([1]Main!$N$2:$N$5000,"dd/mm/yyyy")=
--TEXT($C87,"dd/mm/yyyy")),
[1]Main!$C$2:$C$5000
),
_xlfn.XLOOKUP(
1,
(TRIM(CLEAN(SUBSTITUTE([2]Main!$F$2:$F$5000,CHAR(160)," ")))=
TRIM(CLEAN(SUBSTITUTE($B87,CHAR(160)," "))))
*
(--TEXT([2]Main!$N$2:$N$5000,"dd/mm/yyyy")=
--TEXT($C87,"dd/mm/yyyy")),
[2]Main!$C$2:$C$5000,
"Không tìm thấy"
)
)</f>
        <v>001197019986</v>
      </c>
      <c r="L87" s="13" t="str" cm="1">
        <f t="array" ref="L87">IFERROR(
_xlfn.XLOOKUP(
1,
(TRIM(CLEAN(SUBSTITUTE([1]Main!$F$2:$F$5000,CHAR(160)," ")))=
TRIM(CLEAN(SUBSTITUTE($B87,CHAR(160)," "))))
*
(--TEXT([1]Main!$N$2:$N$5000,"dd/mm/yyyy")=
--TEXT($C87,"dd/mm/yyyy")),
[1]Main!$Q$2:$Q$5000
),
_xlfn.XLOOKUP(
1,
(TRIM(CLEAN(SUBSTITUTE([2]Main!$F$2:$F$5000,CHAR(160)," ")))=
TRIM(CLEAN(SUBSTITUTE($B87,CHAR(160)," "))))
*
(--TEXT([2]Main!$N$2:$N$5000,"dd/mm/yyyy")=
--TEXT($C87,"dd/mm/yyyy")),
[2]Main!$Q$2:$Q$5000,
"Không tìm thấy"
)
)</f>
        <v>Nữ</v>
      </c>
      <c r="M87" s="13" t="str" cm="1">
        <f t="array" ref="M87">IFERROR(
_xlfn.XLOOKUP(
1,
(TRIM(CLEAN(SUBSTITUTE([1]Main!$F$2:$F$5000,CHAR(160)," ")))=
TRIM(CLEAN(SUBSTITUTE($B87,CHAR(160)," "))))
*
(--TEXT([1]Main!$N$2:$N$5000,"dd/mm/yyyy")=
--TEXT($C87,"dd/mm/yyyy")),
[1]Main!$S$2:$S$5000
),
_xlfn.XLOOKUP(
1,
(TRIM(CLEAN(SUBSTITUTE([2]Main!$F$2:$F$5000,CHAR(160)," ")))=
TRIM(CLEAN(SUBSTITUTE($B87,CHAR(160)," "))))
*
(--TEXT([2]Main!$N$2:$N$5000,"dd/mm/yyyy")=
--TEXT($C87,"dd/mm/yyyy")),
[2]Main!$S$2:$S$5000,
"Không tìm thấy"
)
)</f>
        <v>VN</v>
      </c>
      <c r="N87" s="13" t="str" cm="1">
        <f t="array" ref="N87">IFERROR(
_xlfn.XLOOKUP(
1,
(TRIM(CLEAN(SUBSTITUTE([1]Main!$F$2:$F$5000,CHAR(160)," ")))=
TRIM(CLEAN(SUBSTITUTE($B87,CHAR(160)," "))))
*
(--TEXT([1]Main!$N$2:$N$5000,"dd/mm/yyyy")=
--TEXT($C87,"dd/mm/yyyy")),
[1]Main!$AL$2:$AL$5000
),
_xlfn.XLOOKUP(
1,
(TRIM(CLEAN(SUBSTITUTE([2]Main!$F$2:$F$5000,CHAR(160)," ")))=
TRIM(CLEAN(SUBSTITUTE($B87,CHAR(160)," "))))
*
(--TEXT([2]Main!$N$2:$N$5000,"dd/mm/yyyy")=
--TEXT($C87,"dd/mm/yyyy")),
[2]Main!$AL$2:$AL$5000,
"Không tìm thấy"
)
)</f>
        <v>Thành phố Hà Nội</v>
      </c>
      <c r="O87" s="10"/>
      <c r="P87" s="10"/>
      <c r="Q87" s="10"/>
      <c r="R87" s="10"/>
      <c r="S87" s="10"/>
      <c r="T87" s="3" t="s">
        <v>653</v>
      </c>
      <c r="U87" s="3"/>
      <c r="V87" s="3"/>
      <c r="W87" s="3" t="str">
        <f>IF(
    COUNTIFS(
        [1]Main!$F:$F,$B87,
        [1]Main!$N:$N,$C87
    )&gt;0,
    "Active",
    IF(
        COUNTIFS(
            [2]Main!$F:$F,$B87,
            [2]Main!$N:$N,$C87
        )&gt;0,
        "Inactive",
        "Không tìm thấy"
    )
)</f>
        <v>Active</v>
      </c>
      <c r="X87" s="15" t="str" cm="1">
        <f t="array" ref="X87">IFERROR(
_xlfn.XLOOKUP(
1,
(TRIM(CLEAN(SUBSTITUTE([2]Main!$F$2:$F$5000,CHAR(160)," ")))=
TRIM(CLEAN(SUBSTITUTE($B87,CHAR(160)," "))))
*
(--TEXT([2]Main!$N$2:$N$5000,"dd/mm/yyyy")=
--TEXT($C87,"dd/mm/yyyy")),
[2]Main!$AA$2:$AA$5000,
""
),
"")</f>
        <v/>
      </c>
      <c r="Y87" s="3"/>
      <c r="Z87" s="3"/>
      <c r="AA87" s="3"/>
      <c r="AB87" s="3"/>
    </row>
    <row r="88" spans="1:28" ht="38.25" customHeight="1" x14ac:dyDescent="0.25">
      <c r="A88" s="1">
        <v>87</v>
      </c>
      <c r="B88" s="2" t="s">
        <v>465</v>
      </c>
      <c r="C88" s="2" t="s">
        <v>466</v>
      </c>
      <c r="D88" s="2" t="s">
        <v>467</v>
      </c>
      <c r="E88" s="2" t="s">
        <v>468</v>
      </c>
      <c r="F88" s="2" t="s">
        <v>469</v>
      </c>
      <c r="G88" s="2" t="s">
        <v>470</v>
      </c>
      <c r="H88" s="1" t="s">
        <v>471</v>
      </c>
      <c r="I88" s="1" t="s">
        <v>14</v>
      </c>
      <c r="J88" s="2" t="s">
        <v>39</v>
      </c>
      <c r="K88" s="13" t="str" cm="1">
        <f t="array" ref="K88">IFERROR(
_xlfn.XLOOKUP(
1,
(TRIM(CLEAN(SUBSTITUTE([1]Main!$F$2:$F$5000,CHAR(160)," ")))=
TRIM(CLEAN(SUBSTITUTE($B88,CHAR(160)," "))))
*
(--TEXT([1]Main!$N$2:$N$5000,"dd/mm/yyyy")=
--TEXT($C88,"dd/mm/yyyy")),
[1]Main!$C$2:$C$5000
),
_xlfn.XLOOKUP(
1,
(TRIM(CLEAN(SUBSTITUTE([2]Main!$F$2:$F$5000,CHAR(160)," ")))=
TRIM(CLEAN(SUBSTITUTE($B88,CHAR(160)," "))))
*
(--TEXT([2]Main!$N$2:$N$5000,"dd/mm/yyyy")=
--TEXT($C88,"dd/mm/yyyy")),
[2]Main!$C$2:$C$5000,
"Không tìm thấy"
)
)</f>
        <v>038304028430</v>
      </c>
      <c r="L88" s="13" t="str" cm="1">
        <f t="array" ref="L88">IFERROR(
_xlfn.XLOOKUP(
1,
(TRIM(CLEAN(SUBSTITUTE([1]Main!$F$2:$F$5000,CHAR(160)," ")))=
TRIM(CLEAN(SUBSTITUTE($B88,CHAR(160)," "))))
*
(--TEXT([1]Main!$N$2:$N$5000,"dd/mm/yyyy")=
--TEXT($C88,"dd/mm/yyyy")),
[1]Main!$Q$2:$Q$5000
),
_xlfn.XLOOKUP(
1,
(TRIM(CLEAN(SUBSTITUTE([2]Main!$F$2:$F$5000,CHAR(160)," ")))=
TRIM(CLEAN(SUBSTITUTE($B88,CHAR(160)," "))))
*
(--TEXT([2]Main!$N$2:$N$5000,"dd/mm/yyyy")=
--TEXT($C88,"dd/mm/yyyy")),
[2]Main!$Q$2:$Q$5000,
"Không tìm thấy"
)
)</f>
        <v>Nữ</v>
      </c>
      <c r="M88" s="13" t="str" cm="1">
        <f t="array" ref="M88">IFERROR(
_xlfn.XLOOKUP(
1,
(TRIM(CLEAN(SUBSTITUTE([1]Main!$F$2:$F$5000,CHAR(160)," ")))=
TRIM(CLEAN(SUBSTITUTE($B88,CHAR(160)," "))))
*
(--TEXT([1]Main!$N$2:$N$5000,"dd/mm/yyyy")=
--TEXT($C88,"dd/mm/yyyy")),
[1]Main!$S$2:$S$5000
),
_xlfn.XLOOKUP(
1,
(TRIM(CLEAN(SUBSTITUTE([2]Main!$F$2:$F$5000,CHAR(160)," ")))=
TRIM(CLEAN(SUBSTITUTE($B88,CHAR(160)," "))))
*
(--TEXT([2]Main!$N$2:$N$5000,"dd/mm/yyyy")=
--TEXT($C88,"dd/mm/yyyy")),
[2]Main!$S$2:$S$5000,
"Không tìm thấy"
)
)</f>
        <v>VN</v>
      </c>
      <c r="N88" s="13" t="str" cm="1">
        <f t="array" ref="N88">IFERROR(
_xlfn.XLOOKUP(
1,
(TRIM(CLEAN(SUBSTITUTE([1]Main!$F$2:$F$5000,CHAR(160)," ")))=
TRIM(CLEAN(SUBSTITUTE($B88,CHAR(160)," "))))
*
(--TEXT([1]Main!$N$2:$N$5000,"dd/mm/yyyy")=
--TEXT($C88,"dd/mm/yyyy")),
[1]Main!$AL$2:$AL$5000
),
_xlfn.XLOOKUP(
1,
(TRIM(CLEAN(SUBSTITUTE([2]Main!$F$2:$F$5000,CHAR(160)," ")))=
TRIM(CLEAN(SUBSTITUTE($B88,CHAR(160)," "))))
*
(--TEXT([2]Main!$N$2:$N$5000,"dd/mm/yyyy")=
--TEXT($C88,"dd/mm/yyyy")),
[2]Main!$AL$2:$AL$5000,
"Không tìm thấy"
)
)</f>
        <v>Thành phố Hà Nội</v>
      </c>
      <c r="O88" s="10"/>
      <c r="P88" s="10"/>
      <c r="Q88" s="10"/>
      <c r="R88" s="10"/>
      <c r="S88" s="10"/>
      <c r="T88" s="3" t="s">
        <v>653</v>
      </c>
      <c r="U88" s="3"/>
      <c r="V88" s="3"/>
      <c r="W88" s="3" t="str">
        <f>IF(
    COUNTIFS(
        [1]Main!$F:$F,$B88,
        [1]Main!$N:$N,$C88
    )&gt;0,
    "Active",
    IF(
        COUNTIFS(
            [2]Main!$F:$F,$B88,
            [2]Main!$N:$N,$C88
        )&gt;0,
        "Inactive",
        "Không tìm thấy"
    )
)</f>
        <v>Active</v>
      </c>
      <c r="X88" s="15" t="str" cm="1">
        <f t="array" ref="X88">IFERROR(
_xlfn.XLOOKUP(
1,
(TRIM(CLEAN(SUBSTITUTE([2]Main!$F$2:$F$5000,CHAR(160)," ")))=
TRIM(CLEAN(SUBSTITUTE($B88,CHAR(160)," "))))
*
(--TEXT([2]Main!$N$2:$N$5000,"dd/mm/yyyy")=
--TEXT($C88,"dd/mm/yyyy")),
[2]Main!$AA$2:$AA$5000,
""
),
"")</f>
        <v/>
      </c>
      <c r="Y88" s="3"/>
      <c r="Z88" s="3"/>
      <c r="AA88" s="3"/>
      <c r="AB88" s="3"/>
    </row>
    <row r="89" spans="1:28" ht="25.5" customHeight="1" x14ac:dyDescent="0.25">
      <c r="A89" s="1">
        <v>88</v>
      </c>
      <c r="B89" s="2" t="s">
        <v>472</v>
      </c>
      <c r="C89" s="2" t="s">
        <v>473</v>
      </c>
      <c r="D89" s="2" t="s">
        <v>474</v>
      </c>
      <c r="E89" s="2" t="s">
        <v>60</v>
      </c>
      <c r="F89" s="2" t="s">
        <v>61</v>
      </c>
      <c r="G89" s="2" t="s">
        <v>475</v>
      </c>
      <c r="H89" s="1" t="s">
        <v>476</v>
      </c>
      <c r="I89" s="1" t="s">
        <v>14</v>
      </c>
      <c r="J89" s="2" t="s">
        <v>39</v>
      </c>
      <c r="K89" s="13" t="str" cm="1">
        <f t="array" ref="K89">IFERROR(
_xlfn.XLOOKUP(
1,
(TRIM(CLEAN(SUBSTITUTE([1]Main!$F$2:$F$5000,CHAR(160)," ")))=
TRIM(CLEAN(SUBSTITUTE($B89,CHAR(160)," "))))
*
(--TEXT([1]Main!$N$2:$N$5000,"dd/mm/yyyy")=
--TEXT($C89,"dd/mm/yyyy")),
[1]Main!$C$2:$C$5000
),
_xlfn.XLOOKUP(
1,
(TRIM(CLEAN(SUBSTITUTE([2]Main!$F$2:$F$5000,CHAR(160)," ")))=
TRIM(CLEAN(SUBSTITUTE($B89,CHAR(160)," "))))
*
(--TEXT([2]Main!$N$2:$N$5000,"dd/mm/yyyy")=
--TEXT($C89,"dd/mm/yyyy")),
[2]Main!$C$2:$C$5000,
"Không tìm thấy"
)
)</f>
        <v>034099003228</v>
      </c>
      <c r="L89" s="13" t="str" cm="1">
        <f t="array" ref="L89">IFERROR(
_xlfn.XLOOKUP(
1,
(TRIM(CLEAN(SUBSTITUTE([1]Main!$F$2:$F$5000,CHAR(160)," ")))=
TRIM(CLEAN(SUBSTITUTE($B89,CHAR(160)," "))))
*
(--TEXT([1]Main!$N$2:$N$5000,"dd/mm/yyyy")=
--TEXT($C89,"dd/mm/yyyy")),
[1]Main!$Q$2:$Q$5000
),
_xlfn.XLOOKUP(
1,
(TRIM(CLEAN(SUBSTITUTE([2]Main!$F$2:$F$5000,CHAR(160)," ")))=
TRIM(CLEAN(SUBSTITUTE($B89,CHAR(160)," "))))
*
(--TEXT([2]Main!$N$2:$N$5000,"dd/mm/yyyy")=
--TEXT($C89,"dd/mm/yyyy")),
[2]Main!$Q$2:$Q$5000,
"Không tìm thấy"
)
)</f>
        <v>Nam</v>
      </c>
      <c r="M89" s="13" t="str" cm="1">
        <f t="array" ref="M89">IFERROR(
_xlfn.XLOOKUP(
1,
(TRIM(CLEAN(SUBSTITUTE([1]Main!$F$2:$F$5000,CHAR(160)," ")))=
TRIM(CLEAN(SUBSTITUTE($B89,CHAR(160)," "))))
*
(--TEXT([1]Main!$N$2:$N$5000,"dd/mm/yyyy")=
--TEXT($C89,"dd/mm/yyyy")),
[1]Main!$S$2:$S$5000
),
_xlfn.XLOOKUP(
1,
(TRIM(CLEAN(SUBSTITUTE([2]Main!$F$2:$F$5000,CHAR(160)," ")))=
TRIM(CLEAN(SUBSTITUTE($B89,CHAR(160)," "))))
*
(--TEXT([2]Main!$N$2:$N$5000,"dd/mm/yyyy")=
--TEXT($C89,"dd/mm/yyyy")),
[2]Main!$S$2:$S$5000,
"Không tìm thấy"
)
)</f>
        <v>VN</v>
      </c>
      <c r="N89" s="13" t="str" cm="1">
        <f t="array" ref="N89">IFERROR(
_xlfn.XLOOKUP(
1,
(TRIM(CLEAN(SUBSTITUTE([1]Main!$F$2:$F$5000,CHAR(160)," ")))=
TRIM(CLEAN(SUBSTITUTE($B89,CHAR(160)," "))))
*
(--TEXT([1]Main!$N$2:$N$5000,"dd/mm/yyyy")=
--TEXT($C89,"dd/mm/yyyy")),
[1]Main!$AL$2:$AL$5000
),
_xlfn.XLOOKUP(
1,
(TRIM(CLEAN(SUBSTITUTE([2]Main!$F$2:$F$5000,CHAR(160)," ")))=
TRIM(CLEAN(SUBSTITUTE($B89,CHAR(160)," "))))
*
(--TEXT([2]Main!$N$2:$N$5000,"dd/mm/yyyy")=
--TEXT($C89,"dd/mm/yyyy")),
[2]Main!$AL$2:$AL$5000,
"Không tìm thấy"
)
)</f>
        <v>Thành phố Hà Nội</v>
      </c>
      <c r="O89" s="10"/>
      <c r="P89" s="10"/>
      <c r="Q89" s="10"/>
      <c r="R89" s="10"/>
      <c r="S89" s="10"/>
      <c r="T89" s="3" t="s">
        <v>653</v>
      </c>
      <c r="U89" s="3"/>
      <c r="V89" s="3"/>
      <c r="W89" s="3" t="str">
        <f>IF(
    COUNTIFS(
        [1]Main!$F:$F,$B89,
        [1]Main!$N:$N,$C89
    )&gt;0,
    "Active",
    IF(
        COUNTIFS(
            [2]Main!$F:$F,$B89,
            [2]Main!$N:$N,$C89
        )&gt;0,
        "Inactive",
        "Không tìm thấy"
    )
)</f>
        <v>Active</v>
      </c>
      <c r="X89" s="15" t="str" cm="1">
        <f t="array" ref="X89">IFERROR(
_xlfn.XLOOKUP(
1,
(TRIM(CLEAN(SUBSTITUTE([2]Main!$F$2:$F$5000,CHAR(160)," ")))=
TRIM(CLEAN(SUBSTITUTE($B89,CHAR(160)," "))))
*
(--TEXT([2]Main!$N$2:$N$5000,"dd/mm/yyyy")=
--TEXT($C89,"dd/mm/yyyy")),
[2]Main!$AA$2:$AA$5000,
""
),
"")</f>
        <v/>
      </c>
      <c r="Y89" s="3"/>
      <c r="Z89" s="3"/>
      <c r="AA89" s="3"/>
      <c r="AB89" s="3"/>
    </row>
    <row r="90" spans="1:28" ht="25.5" customHeight="1" x14ac:dyDescent="0.25">
      <c r="A90" s="1">
        <v>89</v>
      </c>
      <c r="B90" s="2" t="s">
        <v>477</v>
      </c>
      <c r="C90" s="2" t="s">
        <v>478</v>
      </c>
      <c r="D90" s="2" t="s">
        <v>479</v>
      </c>
      <c r="E90" s="2" t="s">
        <v>480</v>
      </c>
      <c r="F90" s="2" t="s">
        <v>481</v>
      </c>
      <c r="G90" s="2" t="s">
        <v>482</v>
      </c>
      <c r="H90" s="1" t="s">
        <v>483</v>
      </c>
      <c r="I90" s="1" t="s">
        <v>14</v>
      </c>
      <c r="J90" s="2" t="s">
        <v>39</v>
      </c>
      <c r="K90" s="13" t="str" cm="1">
        <f t="array" ref="K90">IFERROR(
_xlfn.XLOOKUP(
1,
(TRIM(CLEAN(SUBSTITUTE([1]Main!$F$2:$F$5000,CHAR(160)," ")))=
TRIM(CLEAN(SUBSTITUTE($B90,CHAR(160)," "))))
*
(--TEXT([1]Main!$N$2:$N$5000,"dd/mm/yyyy")=
--TEXT($C90,"dd/mm/yyyy")),
[1]Main!$C$2:$C$5000
),
_xlfn.XLOOKUP(
1,
(TRIM(CLEAN(SUBSTITUTE([2]Main!$F$2:$F$5000,CHAR(160)," ")))=
TRIM(CLEAN(SUBSTITUTE($B90,CHAR(160)," "))))
*
(--TEXT([2]Main!$N$2:$N$5000,"dd/mm/yyyy")=
--TEXT($C90,"dd/mm/yyyy")),
[2]Main!$C$2:$C$5000,
"Không tìm thấy"
)
)</f>
        <v>001302021040</v>
      </c>
      <c r="L90" s="13" t="str" cm="1">
        <f t="array" ref="L90">IFERROR(
_xlfn.XLOOKUP(
1,
(TRIM(CLEAN(SUBSTITUTE([1]Main!$F$2:$F$5000,CHAR(160)," ")))=
TRIM(CLEAN(SUBSTITUTE($B90,CHAR(160)," "))))
*
(--TEXT([1]Main!$N$2:$N$5000,"dd/mm/yyyy")=
--TEXT($C90,"dd/mm/yyyy")),
[1]Main!$Q$2:$Q$5000
),
_xlfn.XLOOKUP(
1,
(TRIM(CLEAN(SUBSTITUTE([2]Main!$F$2:$F$5000,CHAR(160)," ")))=
TRIM(CLEAN(SUBSTITUTE($B90,CHAR(160)," "))))
*
(--TEXT([2]Main!$N$2:$N$5000,"dd/mm/yyyy")=
--TEXT($C90,"dd/mm/yyyy")),
[2]Main!$Q$2:$Q$5000,
"Không tìm thấy"
)
)</f>
        <v>Nữ</v>
      </c>
      <c r="M90" s="13" t="str" cm="1">
        <f t="array" ref="M90">IFERROR(
_xlfn.XLOOKUP(
1,
(TRIM(CLEAN(SUBSTITUTE([1]Main!$F$2:$F$5000,CHAR(160)," ")))=
TRIM(CLEAN(SUBSTITUTE($B90,CHAR(160)," "))))
*
(--TEXT([1]Main!$N$2:$N$5000,"dd/mm/yyyy")=
--TEXT($C90,"dd/mm/yyyy")),
[1]Main!$S$2:$S$5000
),
_xlfn.XLOOKUP(
1,
(TRIM(CLEAN(SUBSTITUTE([2]Main!$F$2:$F$5000,CHAR(160)," ")))=
TRIM(CLEAN(SUBSTITUTE($B90,CHAR(160)," "))))
*
(--TEXT([2]Main!$N$2:$N$5000,"dd/mm/yyyy")=
--TEXT($C90,"dd/mm/yyyy")),
[2]Main!$S$2:$S$5000,
"Không tìm thấy"
)
)</f>
        <v>VN</v>
      </c>
      <c r="N90" s="13" t="str" cm="1">
        <f t="array" ref="N90">IFERROR(
_xlfn.XLOOKUP(
1,
(TRIM(CLEAN(SUBSTITUTE([1]Main!$F$2:$F$5000,CHAR(160)," ")))=
TRIM(CLEAN(SUBSTITUTE($B90,CHAR(160)," "))))
*
(--TEXT([1]Main!$N$2:$N$5000,"dd/mm/yyyy")=
--TEXT($C90,"dd/mm/yyyy")),
[1]Main!$AL$2:$AL$5000
),
_xlfn.XLOOKUP(
1,
(TRIM(CLEAN(SUBSTITUTE([2]Main!$F$2:$F$5000,CHAR(160)," ")))=
TRIM(CLEAN(SUBSTITUTE($B90,CHAR(160)," "))))
*
(--TEXT([2]Main!$N$2:$N$5000,"dd/mm/yyyy")=
--TEXT($C90,"dd/mm/yyyy")),
[2]Main!$AL$2:$AL$5000,
"Không tìm thấy"
)
)</f>
        <v>Thành phố Hà Nội</v>
      </c>
      <c r="O90" s="10"/>
      <c r="P90" s="10"/>
      <c r="Q90" s="10"/>
      <c r="R90" s="10"/>
      <c r="S90" s="10"/>
      <c r="T90" s="3" t="s">
        <v>653</v>
      </c>
      <c r="U90" s="3"/>
      <c r="V90" s="3"/>
      <c r="W90" s="3" t="str">
        <f>IF(
    COUNTIFS(
        [1]Main!$F:$F,$B90,
        [1]Main!$N:$N,$C90
    )&gt;0,
    "Active",
    IF(
        COUNTIFS(
            [2]Main!$F:$F,$B90,
            [2]Main!$N:$N,$C90
        )&gt;0,
        "Inactive",
        "Không tìm thấy"
    )
)</f>
        <v>Active</v>
      </c>
      <c r="X90" s="15" t="str" cm="1">
        <f t="array" ref="X90">IFERROR(
_xlfn.XLOOKUP(
1,
(TRIM(CLEAN(SUBSTITUTE([2]Main!$F$2:$F$5000,CHAR(160)," ")))=
TRIM(CLEAN(SUBSTITUTE($B90,CHAR(160)," "))))
*
(--TEXT([2]Main!$N$2:$N$5000,"dd/mm/yyyy")=
--TEXT($C90,"dd/mm/yyyy")),
[2]Main!$AA$2:$AA$5000,
""
),
"")</f>
        <v/>
      </c>
      <c r="Y90" s="3"/>
      <c r="Z90" s="3"/>
      <c r="AA90" s="3"/>
      <c r="AB90" s="3"/>
    </row>
    <row r="91" spans="1:28" ht="38.25" customHeight="1" x14ac:dyDescent="0.25">
      <c r="A91" s="1">
        <v>90</v>
      </c>
      <c r="B91" s="2" t="s">
        <v>484</v>
      </c>
      <c r="C91" s="2" t="s">
        <v>385</v>
      </c>
      <c r="D91" s="2" t="s">
        <v>485</v>
      </c>
      <c r="E91" s="2" t="s">
        <v>486</v>
      </c>
      <c r="F91" s="2" t="s">
        <v>252</v>
      </c>
      <c r="G91" s="2" t="s">
        <v>343</v>
      </c>
      <c r="H91" s="1" t="s">
        <v>487</v>
      </c>
      <c r="I91" s="1" t="s">
        <v>14</v>
      </c>
      <c r="J91" s="2" t="s">
        <v>30</v>
      </c>
      <c r="K91" s="13" t="str" cm="1">
        <f t="array" ref="K91">IFERROR(
_xlfn.XLOOKUP(
1,
(TRIM(CLEAN(SUBSTITUTE([1]Main!$F$2:$F$5000,CHAR(160)," ")))=
TRIM(CLEAN(SUBSTITUTE($B91,CHAR(160)," "))))
*
(--TEXT([1]Main!$N$2:$N$5000,"dd/mm/yyyy")=
--TEXT($C91,"dd/mm/yyyy")),
[1]Main!$C$2:$C$5000
),
_xlfn.XLOOKUP(
1,
(TRIM(CLEAN(SUBSTITUTE([2]Main!$F$2:$F$5000,CHAR(160)," ")))=
TRIM(CLEAN(SUBSTITUTE($B91,CHAR(160)," "))))
*
(--TEXT([2]Main!$N$2:$N$5000,"dd/mm/yyyy")=
--TEXT($C91,"dd/mm/yyyy")),
[2]Main!$C$2:$C$5000,
"Không tìm thấy"
)
)</f>
        <v>Không tìm thấy</v>
      </c>
      <c r="L91" s="13" t="str" cm="1">
        <f t="array" ref="L91">IFERROR(
_xlfn.XLOOKUP(
1,
(TRIM(CLEAN(SUBSTITUTE([1]Main!$F$2:$F$5000,CHAR(160)," ")))=
TRIM(CLEAN(SUBSTITUTE($B91,CHAR(160)," "))))
*
(--TEXT([1]Main!$N$2:$N$5000,"dd/mm/yyyy")=
--TEXT($C91,"dd/mm/yyyy")),
[1]Main!$Q$2:$Q$5000
),
_xlfn.XLOOKUP(
1,
(TRIM(CLEAN(SUBSTITUTE([2]Main!$F$2:$F$5000,CHAR(160)," ")))=
TRIM(CLEAN(SUBSTITUTE($B91,CHAR(160)," "))))
*
(--TEXT([2]Main!$N$2:$N$5000,"dd/mm/yyyy")=
--TEXT($C91,"dd/mm/yyyy")),
[2]Main!$Q$2:$Q$5000,
"Không tìm thấy"
)
)</f>
        <v>Không tìm thấy</v>
      </c>
      <c r="M91" s="13" t="str" cm="1">
        <f t="array" ref="M91">IFERROR(
_xlfn.XLOOKUP(
1,
(TRIM(CLEAN(SUBSTITUTE([1]Main!$F$2:$F$5000,CHAR(160)," ")))=
TRIM(CLEAN(SUBSTITUTE($B91,CHAR(160)," "))))
*
(--TEXT([1]Main!$N$2:$N$5000,"dd/mm/yyyy")=
--TEXT($C91,"dd/mm/yyyy")),
[1]Main!$S$2:$S$5000
),
_xlfn.XLOOKUP(
1,
(TRIM(CLEAN(SUBSTITUTE([2]Main!$F$2:$F$5000,CHAR(160)," ")))=
TRIM(CLEAN(SUBSTITUTE($B91,CHAR(160)," "))))
*
(--TEXT([2]Main!$N$2:$N$5000,"dd/mm/yyyy")=
--TEXT($C91,"dd/mm/yyyy")),
[2]Main!$S$2:$S$5000,
"Không tìm thấy"
)
)</f>
        <v>Không tìm thấy</v>
      </c>
      <c r="N91" s="13" t="str" cm="1">
        <f t="array" ref="N91">IFERROR(
_xlfn.XLOOKUP(
1,
(TRIM(CLEAN(SUBSTITUTE([1]Main!$F$2:$F$5000,CHAR(160)," ")))=
TRIM(CLEAN(SUBSTITUTE($B91,CHAR(160)," "))))
*
(--TEXT([1]Main!$N$2:$N$5000,"dd/mm/yyyy")=
--TEXT($C91,"dd/mm/yyyy")),
[1]Main!$AL$2:$AL$5000
),
_xlfn.XLOOKUP(
1,
(TRIM(CLEAN(SUBSTITUTE([2]Main!$F$2:$F$5000,CHAR(160)," ")))=
TRIM(CLEAN(SUBSTITUTE($B91,CHAR(160)," "))))
*
(--TEXT([2]Main!$N$2:$N$5000,"dd/mm/yyyy")=
--TEXT($C91,"dd/mm/yyyy")),
[2]Main!$AL$2:$AL$5000,
"Không tìm thấy"
)
)</f>
        <v>Không tìm thấy</v>
      </c>
      <c r="O91" s="10"/>
      <c r="P91" s="10"/>
      <c r="Q91" s="10"/>
      <c r="R91" s="10"/>
      <c r="S91" s="10"/>
      <c r="T91" s="3" t="s">
        <v>653</v>
      </c>
      <c r="U91" s="3"/>
      <c r="V91" s="3"/>
      <c r="W91" s="3" t="str">
        <f>IF(
    COUNTIFS(
        [1]Main!$F:$F,$B91,
        [1]Main!$N:$N,$C91
    )&gt;0,
    "Active",
    IF(
        COUNTIFS(
            [2]Main!$F:$F,$B91,
            [2]Main!$N:$N,$C91
        )&gt;0,
        "Inactive",
        "Không tìm thấy"
    )
)</f>
        <v>Không tìm thấy</v>
      </c>
      <c r="X91" s="15" t="str" cm="1">
        <f t="array" ref="X91">IFERROR(
_xlfn.XLOOKUP(
1,
(TRIM(CLEAN(SUBSTITUTE([2]Main!$F$2:$F$5000,CHAR(160)," ")))=
TRIM(CLEAN(SUBSTITUTE($B91,CHAR(160)," "))))
*
(--TEXT([2]Main!$N$2:$N$5000,"dd/mm/yyyy")=
--TEXT($C91,"dd/mm/yyyy")),
[2]Main!$AA$2:$AA$5000,
""
),
"")</f>
        <v/>
      </c>
      <c r="Y91" s="3"/>
      <c r="Z91" s="3"/>
      <c r="AA91" s="3"/>
      <c r="AB91" s="3"/>
    </row>
    <row r="92" spans="1:28" ht="25.5" customHeight="1" x14ac:dyDescent="0.25">
      <c r="A92" s="1">
        <v>91</v>
      </c>
      <c r="B92" s="2" t="s">
        <v>488</v>
      </c>
      <c r="C92" s="2" t="s">
        <v>489</v>
      </c>
      <c r="D92" s="2" t="s">
        <v>490</v>
      </c>
      <c r="E92" s="2" t="s">
        <v>326</v>
      </c>
      <c r="F92" s="2" t="s">
        <v>35</v>
      </c>
      <c r="G92" s="2" t="s">
        <v>327</v>
      </c>
      <c r="H92" s="1" t="s">
        <v>487</v>
      </c>
      <c r="I92" s="1" t="s">
        <v>38</v>
      </c>
      <c r="J92" s="2" t="s">
        <v>15</v>
      </c>
      <c r="K92" s="13" t="str" cm="1">
        <f t="array" ref="K92">IFERROR(
_xlfn.XLOOKUP(
1,
(TRIM(CLEAN(SUBSTITUTE([1]Main!$F$2:$F$5000,CHAR(160)," ")))=
TRIM(CLEAN(SUBSTITUTE($B92,CHAR(160)," "))))
*
(--TEXT([1]Main!$N$2:$N$5000,"dd/mm/yyyy")=
--TEXT($C92,"dd/mm/yyyy")),
[1]Main!$C$2:$C$5000
),
_xlfn.XLOOKUP(
1,
(TRIM(CLEAN(SUBSTITUTE([2]Main!$F$2:$F$5000,CHAR(160)," ")))=
TRIM(CLEAN(SUBSTITUTE($B92,CHAR(160)," "))))
*
(--TEXT([2]Main!$N$2:$N$5000,"dd/mm/yyyy")=
--TEXT($C92,"dd/mm/yyyy")),
[2]Main!$C$2:$C$5000,
"Không tìm thấy"
)
)</f>
        <v>001202028675</v>
      </c>
      <c r="L92" s="13" t="str" cm="1">
        <f t="array" ref="L92">IFERROR(
_xlfn.XLOOKUP(
1,
(TRIM(CLEAN(SUBSTITUTE([1]Main!$F$2:$F$5000,CHAR(160)," ")))=
TRIM(CLEAN(SUBSTITUTE($B92,CHAR(160)," "))))
*
(--TEXT([1]Main!$N$2:$N$5000,"dd/mm/yyyy")=
--TEXT($C92,"dd/mm/yyyy")),
[1]Main!$Q$2:$Q$5000
),
_xlfn.XLOOKUP(
1,
(TRIM(CLEAN(SUBSTITUTE([2]Main!$F$2:$F$5000,CHAR(160)," ")))=
TRIM(CLEAN(SUBSTITUTE($B92,CHAR(160)," "))))
*
(--TEXT([2]Main!$N$2:$N$5000,"dd/mm/yyyy")=
--TEXT($C92,"dd/mm/yyyy")),
[2]Main!$Q$2:$Q$5000,
"Không tìm thấy"
)
)</f>
        <v>Nam</v>
      </c>
      <c r="M92" s="13" t="str" cm="1">
        <f t="array" ref="M92">IFERROR(
_xlfn.XLOOKUP(
1,
(TRIM(CLEAN(SUBSTITUTE([1]Main!$F$2:$F$5000,CHAR(160)," ")))=
TRIM(CLEAN(SUBSTITUTE($B92,CHAR(160)," "))))
*
(--TEXT([1]Main!$N$2:$N$5000,"dd/mm/yyyy")=
--TEXT($C92,"dd/mm/yyyy")),
[1]Main!$S$2:$S$5000
),
_xlfn.XLOOKUP(
1,
(TRIM(CLEAN(SUBSTITUTE([2]Main!$F$2:$F$5000,CHAR(160)," ")))=
TRIM(CLEAN(SUBSTITUTE($B92,CHAR(160)," "))))
*
(--TEXT([2]Main!$N$2:$N$5000,"dd/mm/yyyy")=
--TEXT($C92,"dd/mm/yyyy")),
[2]Main!$S$2:$S$5000,
"Không tìm thấy"
)
)</f>
        <v>VN</v>
      </c>
      <c r="N92" s="13" t="str" cm="1">
        <f t="array" ref="N92">IFERROR(
_xlfn.XLOOKUP(
1,
(TRIM(CLEAN(SUBSTITUTE([1]Main!$F$2:$F$5000,CHAR(160)," ")))=
TRIM(CLEAN(SUBSTITUTE($B92,CHAR(160)," "))))
*
(--TEXT([1]Main!$N$2:$N$5000,"dd/mm/yyyy")=
--TEXT($C92,"dd/mm/yyyy")),
[1]Main!$AL$2:$AL$5000
),
_xlfn.XLOOKUP(
1,
(TRIM(CLEAN(SUBSTITUTE([2]Main!$F$2:$F$5000,CHAR(160)," ")))=
TRIM(CLEAN(SUBSTITUTE($B92,CHAR(160)," "))))
*
(--TEXT([2]Main!$N$2:$N$5000,"dd/mm/yyyy")=
--TEXT($C92,"dd/mm/yyyy")),
[2]Main!$AL$2:$AL$5000,
"Không tìm thấy"
)
)</f>
        <v>Thành phố Hà Nội</v>
      </c>
      <c r="O92" s="10"/>
      <c r="P92" s="10"/>
      <c r="Q92" s="10"/>
      <c r="R92" s="10"/>
      <c r="S92" s="10"/>
      <c r="T92" s="3" t="s">
        <v>653</v>
      </c>
      <c r="U92" s="3"/>
      <c r="V92" s="3"/>
      <c r="W92" s="3" t="str">
        <f>IF(
    COUNTIFS(
        [1]Main!$F:$F,$B92,
        [1]Main!$N:$N,$C92
    )&gt;0,
    "Active",
    IF(
        COUNTIFS(
            [2]Main!$F:$F,$B92,
            [2]Main!$N:$N,$C92
        )&gt;0,
        "Inactive",
        "Không tìm thấy"
    )
)</f>
        <v>Active</v>
      </c>
      <c r="X92" s="15" t="str" cm="1">
        <f t="array" ref="X92">IFERROR(
_xlfn.XLOOKUP(
1,
(TRIM(CLEAN(SUBSTITUTE([2]Main!$F$2:$F$5000,CHAR(160)," ")))=
TRIM(CLEAN(SUBSTITUTE($B92,CHAR(160)," "))))
*
(--TEXT([2]Main!$N$2:$N$5000,"dd/mm/yyyy")=
--TEXT($C92,"dd/mm/yyyy")),
[2]Main!$AA$2:$AA$5000,
""
),
"")</f>
        <v/>
      </c>
      <c r="Y92" s="3"/>
      <c r="Z92" s="3"/>
      <c r="AA92" s="3"/>
      <c r="AB92" s="3"/>
    </row>
    <row r="93" spans="1:28" ht="25.5" customHeight="1" x14ac:dyDescent="0.25">
      <c r="A93" s="1">
        <v>92</v>
      </c>
      <c r="B93" s="2" t="s">
        <v>491</v>
      </c>
      <c r="C93" s="2" t="s">
        <v>492</v>
      </c>
      <c r="D93" s="2" t="s">
        <v>493</v>
      </c>
      <c r="E93" s="2" t="s">
        <v>494</v>
      </c>
      <c r="F93" s="2" t="s">
        <v>495</v>
      </c>
      <c r="G93" s="2" t="s">
        <v>343</v>
      </c>
      <c r="H93" s="1" t="s">
        <v>496</v>
      </c>
      <c r="I93" s="1" t="s">
        <v>14</v>
      </c>
      <c r="J93" s="2" t="s">
        <v>15</v>
      </c>
      <c r="K93" s="13" t="str" cm="1">
        <f t="array" ref="K93">IFERROR(
_xlfn.XLOOKUP(
1,
(TRIM(CLEAN(SUBSTITUTE([1]Main!$F$2:$F$5000,CHAR(160)," ")))=
TRIM(CLEAN(SUBSTITUTE($B93,CHAR(160)," "))))
*
(--TEXT([1]Main!$N$2:$N$5000,"dd/mm/yyyy")=
--TEXT($C93,"dd/mm/yyyy")),
[1]Main!$C$2:$C$5000
),
_xlfn.XLOOKUP(
1,
(TRIM(CLEAN(SUBSTITUTE([2]Main!$F$2:$F$5000,CHAR(160)," ")))=
TRIM(CLEAN(SUBSTITUTE($B93,CHAR(160)," "))))
*
(--TEXT([2]Main!$N$2:$N$5000,"dd/mm/yyyy")=
--TEXT($C93,"dd/mm/yyyy")),
[2]Main!$C$2:$C$5000,
"Không tìm thấy"
)
)</f>
        <v>8593168125</v>
      </c>
      <c r="L93" s="13" t="str" cm="1">
        <f t="array" ref="L93">IFERROR(
_xlfn.XLOOKUP(
1,
(TRIM(CLEAN(SUBSTITUTE([1]Main!$F$2:$F$5000,CHAR(160)," ")))=
TRIM(CLEAN(SUBSTITUTE($B93,CHAR(160)," "))))
*
(--TEXT([1]Main!$N$2:$N$5000,"dd/mm/yyyy")=
--TEXT($C93,"dd/mm/yyyy")),
[1]Main!$Q$2:$Q$5000
),
_xlfn.XLOOKUP(
1,
(TRIM(CLEAN(SUBSTITUTE([2]Main!$F$2:$F$5000,CHAR(160)," ")))=
TRIM(CLEAN(SUBSTITUTE($B93,CHAR(160)," "))))
*
(--TEXT([2]Main!$N$2:$N$5000,"dd/mm/yyyy")=
--TEXT($C93,"dd/mm/yyyy")),
[2]Main!$Q$2:$Q$5000,
"Không tìm thấy"
)
)</f>
        <v>Nữ</v>
      </c>
      <c r="M93" s="13" t="str" cm="1">
        <f t="array" ref="M93">IFERROR(
_xlfn.XLOOKUP(
1,
(TRIM(CLEAN(SUBSTITUTE([1]Main!$F$2:$F$5000,CHAR(160)," ")))=
TRIM(CLEAN(SUBSTITUTE($B93,CHAR(160)," "))))
*
(--TEXT([1]Main!$N$2:$N$5000,"dd/mm/yyyy")=
--TEXT($C93,"dd/mm/yyyy")),
[1]Main!$S$2:$S$5000
),
_xlfn.XLOOKUP(
1,
(TRIM(CLEAN(SUBSTITUTE([2]Main!$F$2:$F$5000,CHAR(160)," ")))=
TRIM(CLEAN(SUBSTITUTE($B93,CHAR(160)," "))))
*
(--TEXT([2]Main!$N$2:$N$5000,"dd/mm/yyyy")=
--TEXT($C93,"dd/mm/yyyy")),
[2]Main!$S$2:$S$5000,
"Không tìm thấy"
)
)</f>
        <v>VN</v>
      </c>
      <c r="N93" s="13" t="str" cm="1">
        <f t="array" ref="N93">IFERROR(
_xlfn.XLOOKUP(
1,
(TRIM(CLEAN(SUBSTITUTE([1]Main!$F$2:$F$5000,CHAR(160)," ")))=
TRIM(CLEAN(SUBSTITUTE($B93,CHAR(160)," "))))
*
(--TEXT([1]Main!$N$2:$N$5000,"dd/mm/yyyy")=
--TEXT($C93,"dd/mm/yyyy")),
[1]Main!$AL$2:$AL$5000
),
_xlfn.XLOOKUP(
1,
(TRIM(CLEAN(SUBSTITUTE([2]Main!$F$2:$F$5000,CHAR(160)," ")))=
TRIM(CLEAN(SUBSTITUTE($B93,CHAR(160)," "))))
*
(--TEXT([2]Main!$N$2:$N$5000,"dd/mm/yyyy")=
--TEXT($C93,"dd/mm/yyyy")),
[2]Main!$AL$2:$AL$5000,
"Không tìm thấy"
)
)</f>
        <v>Thành phố Hà Nội</v>
      </c>
      <c r="O93" s="10"/>
      <c r="P93" s="10"/>
      <c r="Q93" s="10"/>
      <c r="R93" s="10"/>
      <c r="S93" s="10"/>
      <c r="T93" s="3" t="s">
        <v>653</v>
      </c>
      <c r="U93" s="3"/>
      <c r="V93" s="3"/>
      <c r="W93" s="3" t="str">
        <f>IF(
    COUNTIFS(
        [1]Main!$F:$F,$B93,
        [1]Main!$N:$N,$C93
    )&gt;0,
    "Active",
    IF(
        COUNTIFS(
            [2]Main!$F:$F,$B93,
            [2]Main!$N:$N,$C93
        )&gt;0,
        "Inactive",
        "Không tìm thấy"
    )
)</f>
        <v>Active</v>
      </c>
      <c r="X93" s="15" t="str" cm="1">
        <f t="array" ref="X93">IFERROR(
_xlfn.XLOOKUP(
1,
(TRIM(CLEAN(SUBSTITUTE([2]Main!$F$2:$F$5000,CHAR(160)," ")))=
TRIM(CLEAN(SUBSTITUTE($B93,CHAR(160)," "))))
*
(--TEXT([2]Main!$N$2:$N$5000,"dd/mm/yyyy")=
--TEXT($C93,"dd/mm/yyyy")),
[2]Main!$AA$2:$AA$5000,
""
),
"")</f>
        <v/>
      </c>
      <c r="Y93" s="3"/>
      <c r="Z93" s="3"/>
      <c r="AA93" s="3"/>
      <c r="AB93" s="3"/>
    </row>
    <row r="94" spans="1:28" ht="25.5" customHeight="1" x14ac:dyDescent="0.25">
      <c r="A94" s="1">
        <v>93</v>
      </c>
      <c r="B94" s="2" t="s">
        <v>497</v>
      </c>
      <c r="C94" s="2" t="s">
        <v>498</v>
      </c>
      <c r="D94" s="2" t="s">
        <v>499</v>
      </c>
      <c r="E94" s="2" t="s">
        <v>500</v>
      </c>
      <c r="F94" s="2" t="s">
        <v>501</v>
      </c>
      <c r="G94" s="2" t="s">
        <v>502</v>
      </c>
      <c r="H94" s="1" t="s">
        <v>503</v>
      </c>
      <c r="I94" s="1" t="s">
        <v>14</v>
      </c>
      <c r="J94" s="2" t="s">
        <v>15</v>
      </c>
      <c r="K94" s="13" t="str" cm="1">
        <f t="array" ref="K94">IFERROR(
_xlfn.XLOOKUP(
1,
(TRIM(CLEAN(SUBSTITUTE([1]Main!$F$2:$F$5000,CHAR(160)," ")))=
TRIM(CLEAN(SUBSTITUTE($B94,CHAR(160)," "))))
*
(--TEXT([1]Main!$N$2:$N$5000,"dd/mm/yyyy")=
--TEXT($C94,"dd/mm/yyyy")),
[1]Main!$C$2:$C$5000
),
_xlfn.XLOOKUP(
1,
(TRIM(CLEAN(SUBSTITUTE([2]Main!$F$2:$F$5000,CHAR(160)," ")))=
TRIM(CLEAN(SUBSTITUTE($B94,CHAR(160)," "))))
*
(--TEXT([2]Main!$N$2:$N$5000,"dd/mm/yyyy")=
--TEXT($C94,"dd/mm/yyyy")),
[2]Main!$C$2:$C$5000,
"Không tìm thấy"
)
)</f>
        <v>026301000435</v>
      </c>
      <c r="L94" s="13" t="str" cm="1">
        <f t="array" ref="L94">IFERROR(
_xlfn.XLOOKUP(
1,
(TRIM(CLEAN(SUBSTITUTE([1]Main!$F$2:$F$5000,CHAR(160)," ")))=
TRIM(CLEAN(SUBSTITUTE($B94,CHAR(160)," "))))
*
(--TEXT([1]Main!$N$2:$N$5000,"dd/mm/yyyy")=
--TEXT($C94,"dd/mm/yyyy")),
[1]Main!$Q$2:$Q$5000
),
_xlfn.XLOOKUP(
1,
(TRIM(CLEAN(SUBSTITUTE([2]Main!$F$2:$F$5000,CHAR(160)," ")))=
TRIM(CLEAN(SUBSTITUTE($B94,CHAR(160)," "))))
*
(--TEXT([2]Main!$N$2:$N$5000,"dd/mm/yyyy")=
--TEXT($C94,"dd/mm/yyyy")),
[2]Main!$Q$2:$Q$5000,
"Không tìm thấy"
)
)</f>
        <v>Nữ</v>
      </c>
      <c r="M94" s="13" t="str" cm="1">
        <f t="array" ref="M94">IFERROR(
_xlfn.XLOOKUP(
1,
(TRIM(CLEAN(SUBSTITUTE([1]Main!$F$2:$F$5000,CHAR(160)," ")))=
TRIM(CLEAN(SUBSTITUTE($B94,CHAR(160)," "))))
*
(--TEXT([1]Main!$N$2:$N$5000,"dd/mm/yyyy")=
--TEXT($C94,"dd/mm/yyyy")),
[1]Main!$S$2:$S$5000
),
_xlfn.XLOOKUP(
1,
(TRIM(CLEAN(SUBSTITUTE([2]Main!$F$2:$F$5000,CHAR(160)," ")))=
TRIM(CLEAN(SUBSTITUTE($B94,CHAR(160)," "))))
*
(--TEXT([2]Main!$N$2:$N$5000,"dd/mm/yyyy")=
--TEXT($C94,"dd/mm/yyyy")),
[2]Main!$S$2:$S$5000,
"Không tìm thấy"
)
)</f>
        <v>VN</v>
      </c>
      <c r="N94" s="13" t="str" cm="1">
        <f t="array" ref="N94">IFERROR(
_xlfn.XLOOKUP(
1,
(TRIM(CLEAN(SUBSTITUTE([1]Main!$F$2:$F$5000,CHAR(160)," ")))=
TRIM(CLEAN(SUBSTITUTE($B94,CHAR(160)," "))))
*
(--TEXT([1]Main!$N$2:$N$5000,"dd/mm/yyyy")=
--TEXT($C94,"dd/mm/yyyy")),
[1]Main!$AL$2:$AL$5000
),
_xlfn.XLOOKUP(
1,
(TRIM(CLEAN(SUBSTITUTE([2]Main!$F$2:$F$5000,CHAR(160)," ")))=
TRIM(CLEAN(SUBSTITUTE($B94,CHAR(160)," "))))
*
(--TEXT([2]Main!$N$2:$N$5000,"dd/mm/yyyy")=
--TEXT($C94,"dd/mm/yyyy")),
[2]Main!$AL$2:$AL$5000,
"Không tìm thấy"
)
)</f>
        <v>Thành phố Hà Nội</v>
      </c>
      <c r="O94" s="10"/>
      <c r="P94" s="10"/>
      <c r="Q94" s="10"/>
      <c r="R94" s="10"/>
      <c r="S94" s="10"/>
      <c r="T94" s="3" t="s">
        <v>653</v>
      </c>
      <c r="U94" s="3"/>
      <c r="V94" s="3"/>
      <c r="W94" s="3" t="str">
        <f>IF(
    COUNTIFS(
        [1]Main!$F:$F,$B94,
        [1]Main!$N:$N,$C94
    )&gt;0,
    "Active",
    IF(
        COUNTIFS(
            [2]Main!$F:$F,$B94,
            [2]Main!$N:$N,$C94
        )&gt;0,
        "Inactive",
        "Không tìm thấy"
    )
)</f>
        <v>Active</v>
      </c>
      <c r="X94" s="15" t="str" cm="1">
        <f t="array" ref="X94">IFERROR(
_xlfn.XLOOKUP(
1,
(TRIM(CLEAN(SUBSTITUTE([2]Main!$F$2:$F$5000,CHAR(160)," ")))=
TRIM(CLEAN(SUBSTITUTE($B94,CHAR(160)," "))))
*
(--TEXT([2]Main!$N$2:$N$5000,"dd/mm/yyyy")=
--TEXT($C94,"dd/mm/yyyy")),
[2]Main!$AA$2:$AA$5000,
""
),
"")</f>
        <v/>
      </c>
      <c r="Y94" s="3"/>
      <c r="Z94" s="3"/>
      <c r="AA94" s="3"/>
      <c r="AB94" s="3"/>
    </row>
    <row r="95" spans="1:28" ht="38.25" customHeight="1" x14ac:dyDescent="0.25">
      <c r="A95" s="1">
        <v>94</v>
      </c>
      <c r="B95" s="2" t="s">
        <v>504</v>
      </c>
      <c r="C95" s="2" t="s">
        <v>505</v>
      </c>
      <c r="D95" s="2" t="s">
        <v>506</v>
      </c>
      <c r="E95" s="2" t="s">
        <v>53</v>
      </c>
      <c r="F95" s="2" t="s">
        <v>141</v>
      </c>
      <c r="G95" s="2" t="s">
        <v>99</v>
      </c>
      <c r="H95" s="1" t="s">
        <v>507</v>
      </c>
      <c r="I95" s="1" t="s">
        <v>14</v>
      </c>
      <c r="J95" s="2" t="s">
        <v>508</v>
      </c>
      <c r="K95" s="13" t="str" cm="1">
        <f t="array" ref="K95">IFERROR(
_xlfn.XLOOKUP(
1,
(TRIM(CLEAN(SUBSTITUTE([1]Main!$F$2:$F$5000,CHAR(160)," ")))=
TRIM(CLEAN(SUBSTITUTE($B95,CHAR(160)," "))))
*
(--TEXT([1]Main!$N$2:$N$5000,"dd/mm/yyyy")=
--TEXT($C95,"dd/mm/yyyy")),
[1]Main!$C$2:$C$5000
),
_xlfn.XLOOKUP(
1,
(TRIM(CLEAN(SUBSTITUTE([2]Main!$F$2:$F$5000,CHAR(160)," ")))=
TRIM(CLEAN(SUBSTITUTE($B95,CHAR(160)," "))))
*
(--TEXT([2]Main!$N$2:$N$5000,"dd/mm/yyyy")=
--TEXT($C95,"dd/mm/yyyy")),
[2]Main!$C$2:$C$5000,
"Không tìm thấy"
)
)</f>
        <v>008097004328</v>
      </c>
      <c r="L95" s="13" t="str" cm="1">
        <f t="array" ref="L95">IFERROR(
_xlfn.XLOOKUP(
1,
(TRIM(CLEAN(SUBSTITUTE([1]Main!$F$2:$F$5000,CHAR(160)," ")))=
TRIM(CLEAN(SUBSTITUTE($B95,CHAR(160)," "))))
*
(--TEXT([1]Main!$N$2:$N$5000,"dd/mm/yyyy")=
--TEXT($C95,"dd/mm/yyyy")),
[1]Main!$Q$2:$Q$5000
),
_xlfn.XLOOKUP(
1,
(TRIM(CLEAN(SUBSTITUTE([2]Main!$F$2:$F$5000,CHAR(160)," ")))=
TRIM(CLEAN(SUBSTITUTE($B95,CHAR(160)," "))))
*
(--TEXT([2]Main!$N$2:$N$5000,"dd/mm/yyyy")=
--TEXT($C95,"dd/mm/yyyy")),
[2]Main!$Q$2:$Q$5000,
"Không tìm thấy"
)
)</f>
        <v>Nam</v>
      </c>
      <c r="M95" s="13" t="str" cm="1">
        <f t="array" ref="M95">IFERROR(
_xlfn.XLOOKUP(
1,
(TRIM(CLEAN(SUBSTITUTE([1]Main!$F$2:$F$5000,CHAR(160)," ")))=
TRIM(CLEAN(SUBSTITUTE($B95,CHAR(160)," "))))
*
(--TEXT([1]Main!$N$2:$N$5000,"dd/mm/yyyy")=
--TEXT($C95,"dd/mm/yyyy")),
[1]Main!$S$2:$S$5000
),
_xlfn.XLOOKUP(
1,
(TRIM(CLEAN(SUBSTITUTE([2]Main!$F$2:$F$5000,CHAR(160)," ")))=
TRIM(CLEAN(SUBSTITUTE($B95,CHAR(160)," "))))
*
(--TEXT([2]Main!$N$2:$N$5000,"dd/mm/yyyy")=
--TEXT($C95,"dd/mm/yyyy")),
[2]Main!$S$2:$S$5000,
"Không tìm thấy"
)
)</f>
        <v>VN</v>
      </c>
      <c r="N95" s="13" t="str" cm="1">
        <f t="array" ref="N95">IFERROR(
_xlfn.XLOOKUP(
1,
(TRIM(CLEAN(SUBSTITUTE([1]Main!$F$2:$F$5000,CHAR(160)," ")))=
TRIM(CLEAN(SUBSTITUTE($B95,CHAR(160)," "))))
*
(--TEXT([1]Main!$N$2:$N$5000,"dd/mm/yyyy")=
--TEXT($C95,"dd/mm/yyyy")),
[1]Main!$AL$2:$AL$5000
),
_xlfn.XLOOKUP(
1,
(TRIM(CLEAN(SUBSTITUTE([2]Main!$F$2:$F$5000,CHAR(160)," ")))=
TRIM(CLEAN(SUBSTITUTE($B95,CHAR(160)," "))))
*
(--TEXT([2]Main!$N$2:$N$5000,"dd/mm/yyyy")=
--TEXT($C95,"dd/mm/yyyy")),
[2]Main!$AL$2:$AL$5000,
"Không tìm thấy"
)
)</f>
        <v>Thành phố Hà Nội</v>
      </c>
      <c r="O95" s="10"/>
      <c r="P95" s="10"/>
      <c r="Q95" s="10"/>
      <c r="R95" s="10"/>
      <c r="S95" s="10"/>
      <c r="T95" s="3" t="s">
        <v>653</v>
      </c>
      <c r="U95" s="3"/>
      <c r="V95" s="3"/>
      <c r="W95" s="3" t="str">
        <f>IF(
    COUNTIFS(
        [1]Main!$F:$F,$B95,
        [1]Main!$N:$N,$C95
    )&gt;0,
    "Active",
    IF(
        COUNTIFS(
            [2]Main!$F:$F,$B95,
            [2]Main!$N:$N,$C95
        )&gt;0,
        "Inactive",
        "Không tìm thấy"
    )
)</f>
        <v>Active</v>
      </c>
      <c r="X95" s="15" t="str" cm="1">
        <f t="array" ref="X95">IFERROR(
_xlfn.XLOOKUP(
1,
(TRIM(CLEAN(SUBSTITUTE([2]Main!$F$2:$F$5000,CHAR(160)," ")))=
TRIM(CLEAN(SUBSTITUTE($B95,CHAR(160)," "))))
*
(--TEXT([2]Main!$N$2:$N$5000,"dd/mm/yyyy")=
--TEXT($C95,"dd/mm/yyyy")),
[2]Main!$AA$2:$AA$5000,
""
),
"")</f>
        <v/>
      </c>
      <c r="Y95" s="3"/>
      <c r="Z95" s="3"/>
      <c r="AA95" s="3"/>
      <c r="AB95" s="3"/>
    </row>
    <row r="96" spans="1:28" ht="38.25" customHeight="1" x14ac:dyDescent="0.25">
      <c r="A96" s="1">
        <v>95</v>
      </c>
      <c r="B96" s="2" t="s">
        <v>509</v>
      </c>
      <c r="C96" s="2" t="s">
        <v>510</v>
      </c>
      <c r="D96" s="2" t="s">
        <v>511</v>
      </c>
      <c r="E96" s="2" t="s">
        <v>130</v>
      </c>
      <c r="F96" s="2" t="s">
        <v>131</v>
      </c>
      <c r="G96" s="2" t="s">
        <v>512</v>
      </c>
      <c r="H96" s="1" t="s">
        <v>513</v>
      </c>
      <c r="I96" s="1" t="s">
        <v>14</v>
      </c>
      <c r="J96" s="2" t="s">
        <v>15</v>
      </c>
      <c r="K96" s="13" t="str" cm="1">
        <f t="array" ref="K96">IFERROR(
_xlfn.XLOOKUP(
1,
(TRIM(CLEAN(SUBSTITUTE([1]Main!$F$2:$F$5000,CHAR(160)," ")))=
TRIM(CLEAN(SUBSTITUTE($B96,CHAR(160)," "))))
*
(--TEXT([1]Main!$N$2:$N$5000,"dd/mm/yyyy")=
--TEXT($C96,"dd/mm/yyyy")),
[1]Main!$C$2:$C$5000
),
_xlfn.XLOOKUP(
1,
(TRIM(CLEAN(SUBSTITUTE([2]Main!$F$2:$F$5000,CHAR(160)," ")))=
TRIM(CLEAN(SUBSTITUTE($B96,CHAR(160)," "))))
*
(--TEXT([2]Main!$N$2:$N$5000,"dd/mm/yyyy")=
--TEXT($C96,"dd/mm/yyyy")),
[2]Main!$C$2:$C$5000,
"Không tìm thấy"
)
)</f>
        <v>040301012333</v>
      </c>
      <c r="L96" s="13" t="str" cm="1">
        <f t="array" ref="L96">IFERROR(
_xlfn.XLOOKUP(
1,
(TRIM(CLEAN(SUBSTITUTE([1]Main!$F$2:$F$5000,CHAR(160)," ")))=
TRIM(CLEAN(SUBSTITUTE($B96,CHAR(160)," "))))
*
(--TEXT([1]Main!$N$2:$N$5000,"dd/mm/yyyy")=
--TEXT($C96,"dd/mm/yyyy")),
[1]Main!$Q$2:$Q$5000
),
_xlfn.XLOOKUP(
1,
(TRIM(CLEAN(SUBSTITUTE([2]Main!$F$2:$F$5000,CHAR(160)," ")))=
TRIM(CLEAN(SUBSTITUTE($B96,CHAR(160)," "))))
*
(--TEXT([2]Main!$N$2:$N$5000,"dd/mm/yyyy")=
--TEXT($C96,"dd/mm/yyyy")),
[2]Main!$Q$2:$Q$5000,
"Không tìm thấy"
)
)</f>
        <v>Nữ</v>
      </c>
      <c r="M96" s="13" t="str" cm="1">
        <f t="array" ref="M96">IFERROR(
_xlfn.XLOOKUP(
1,
(TRIM(CLEAN(SUBSTITUTE([1]Main!$F$2:$F$5000,CHAR(160)," ")))=
TRIM(CLEAN(SUBSTITUTE($B96,CHAR(160)," "))))
*
(--TEXT([1]Main!$N$2:$N$5000,"dd/mm/yyyy")=
--TEXT($C96,"dd/mm/yyyy")),
[1]Main!$S$2:$S$5000
),
_xlfn.XLOOKUP(
1,
(TRIM(CLEAN(SUBSTITUTE([2]Main!$F$2:$F$5000,CHAR(160)," ")))=
TRIM(CLEAN(SUBSTITUTE($B96,CHAR(160)," "))))
*
(--TEXT([2]Main!$N$2:$N$5000,"dd/mm/yyyy")=
--TEXT($C96,"dd/mm/yyyy")),
[2]Main!$S$2:$S$5000,
"Không tìm thấy"
)
)</f>
        <v>VN</v>
      </c>
      <c r="N96" s="13" t="str" cm="1">
        <f t="array" ref="N96">IFERROR(
_xlfn.XLOOKUP(
1,
(TRIM(CLEAN(SUBSTITUTE([1]Main!$F$2:$F$5000,CHAR(160)," ")))=
TRIM(CLEAN(SUBSTITUTE($B96,CHAR(160)," "))))
*
(--TEXT([1]Main!$N$2:$N$5000,"dd/mm/yyyy")=
--TEXT($C96,"dd/mm/yyyy")),
[1]Main!$AL$2:$AL$5000
),
_xlfn.XLOOKUP(
1,
(TRIM(CLEAN(SUBSTITUTE([2]Main!$F$2:$F$5000,CHAR(160)," ")))=
TRIM(CLEAN(SUBSTITUTE($B96,CHAR(160)," "))))
*
(--TEXT([2]Main!$N$2:$N$5000,"dd/mm/yyyy")=
--TEXT($C96,"dd/mm/yyyy")),
[2]Main!$AL$2:$AL$5000,
"Không tìm thấy"
)
)</f>
        <v>Thành phố Hà Nội</v>
      </c>
      <c r="O96" s="10"/>
      <c r="P96" s="10"/>
      <c r="Q96" s="10"/>
      <c r="R96" s="10"/>
      <c r="S96" s="10"/>
      <c r="T96" s="3" t="s">
        <v>653</v>
      </c>
      <c r="U96" s="3"/>
      <c r="V96" s="3"/>
      <c r="W96" s="3" t="str">
        <f>IF(
    COUNTIFS(
        [1]Main!$F:$F,$B96,
        [1]Main!$N:$N,$C96
    )&gt;0,
    "Active",
    IF(
        COUNTIFS(
            [2]Main!$F:$F,$B96,
            [2]Main!$N:$N,$C96
        )&gt;0,
        "Inactive",
        "Không tìm thấy"
    )
)</f>
        <v>Active</v>
      </c>
      <c r="X96" s="15" t="str" cm="1">
        <f t="array" ref="X96">IFERROR(
_xlfn.XLOOKUP(
1,
(TRIM(CLEAN(SUBSTITUTE([2]Main!$F$2:$F$5000,CHAR(160)," ")))=
TRIM(CLEAN(SUBSTITUTE($B96,CHAR(160)," "))))
*
(--TEXT([2]Main!$N$2:$N$5000,"dd/mm/yyyy")=
--TEXT($C96,"dd/mm/yyyy")),
[2]Main!$AA$2:$AA$5000,
""
),
"")</f>
        <v/>
      </c>
      <c r="Y96" s="3"/>
      <c r="Z96" s="3"/>
      <c r="AA96" s="3"/>
      <c r="AB96" s="3"/>
    </row>
    <row r="97" spans="1:28" ht="38.25" customHeight="1" x14ac:dyDescent="0.25">
      <c r="A97" s="1">
        <v>96</v>
      </c>
      <c r="B97" s="2" t="s">
        <v>514</v>
      </c>
      <c r="C97" s="2" t="s">
        <v>515</v>
      </c>
      <c r="D97" s="2" t="s">
        <v>516</v>
      </c>
      <c r="E97" s="2" t="s">
        <v>53</v>
      </c>
      <c r="F97" s="2" t="s">
        <v>335</v>
      </c>
      <c r="G97" s="2" t="s">
        <v>336</v>
      </c>
      <c r="H97" s="1" t="s">
        <v>513</v>
      </c>
      <c r="I97" s="1" t="s">
        <v>14</v>
      </c>
      <c r="J97" s="2" t="s">
        <v>15</v>
      </c>
      <c r="K97" s="13" t="str" cm="1">
        <f t="array" ref="K97">IFERROR(
_xlfn.XLOOKUP(
1,
(TRIM(CLEAN(SUBSTITUTE([1]Main!$F$2:$F$5000,CHAR(160)," ")))=
TRIM(CLEAN(SUBSTITUTE($B97,CHAR(160)," "))))
*
(--TEXT([1]Main!$N$2:$N$5000,"dd/mm/yyyy")=
--TEXT($C97,"dd/mm/yyyy")),
[1]Main!$C$2:$C$5000
),
_xlfn.XLOOKUP(
1,
(TRIM(CLEAN(SUBSTITUTE([2]Main!$F$2:$F$5000,CHAR(160)," ")))=
TRIM(CLEAN(SUBSTITUTE($B97,CHAR(160)," "))))
*
(--TEXT([2]Main!$N$2:$N$5000,"dd/mm/yyyy")=
--TEXT($C97,"dd/mm/yyyy")),
[2]Main!$C$2:$C$5000,
"Không tìm thấy"
)
)</f>
        <v>022200000613</v>
      </c>
      <c r="L97" s="13" t="str" cm="1">
        <f t="array" ref="L97">IFERROR(
_xlfn.XLOOKUP(
1,
(TRIM(CLEAN(SUBSTITUTE([1]Main!$F$2:$F$5000,CHAR(160)," ")))=
TRIM(CLEAN(SUBSTITUTE($B97,CHAR(160)," "))))
*
(--TEXT([1]Main!$N$2:$N$5000,"dd/mm/yyyy")=
--TEXT($C97,"dd/mm/yyyy")),
[1]Main!$Q$2:$Q$5000
),
_xlfn.XLOOKUP(
1,
(TRIM(CLEAN(SUBSTITUTE([2]Main!$F$2:$F$5000,CHAR(160)," ")))=
TRIM(CLEAN(SUBSTITUTE($B97,CHAR(160)," "))))
*
(--TEXT([2]Main!$N$2:$N$5000,"dd/mm/yyyy")=
--TEXT($C97,"dd/mm/yyyy")),
[2]Main!$Q$2:$Q$5000,
"Không tìm thấy"
)
)</f>
        <v>Nam</v>
      </c>
      <c r="M97" s="13" t="str" cm="1">
        <f t="array" ref="M97">IFERROR(
_xlfn.XLOOKUP(
1,
(TRIM(CLEAN(SUBSTITUTE([1]Main!$F$2:$F$5000,CHAR(160)," ")))=
TRIM(CLEAN(SUBSTITUTE($B97,CHAR(160)," "))))
*
(--TEXT([1]Main!$N$2:$N$5000,"dd/mm/yyyy")=
--TEXT($C97,"dd/mm/yyyy")),
[1]Main!$S$2:$S$5000
),
_xlfn.XLOOKUP(
1,
(TRIM(CLEAN(SUBSTITUTE([2]Main!$F$2:$F$5000,CHAR(160)," ")))=
TRIM(CLEAN(SUBSTITUTE($B97,CHAR(160)," "))))
*
(--TEXT([2]Main!$N$2:$N$5000,"dd/mm/yyyy")=
--TEXT($C97,"dd/mm/yyyy")),
[2]Main!$S$2:$S$5000,
"Không tìm thấy"
)
)</f>
        <v>VN</v>
      </c>
      <c r="N97" s="13" t="str" cm="1">
        <f t="array" ref="N97">IFERROR(
_xlfn.XLOOKUP(
1,
(TRIM(CLEAN(SUBSTITUTE([1]Main!$F$2:$F$5000,CHAR(160)," ")))=
TRIM(CLEAN(SUBSTITUTE($B97,CHAR(160)," "))))
*
(--TEXT([1]Main!$N$2:$N$5000,"dd/mm/yyyy")=
--TEXT($C97,"dd/mm/yyyy")),
[1]Main!$AL$2:$AL$5000
),
_xlfn.XLOOKUP(
1,
(TRIM(CLEAN(SUBSTITUTE([2]Main!$F$2:$F$5000,CHAR(160)," ")))=
TRIM(CLEAN(SUBSTITUTE($B97,CHAR(160)," "))))
*
(--TEXT([2]Main!$N$2:$N$5000,"dd/mm/yyyy")=
--TEXT($C97,"dd/mm/yyyy")),
[2]Main!$AL$2:$AL$5000,
"Không tìm thấy"
)
)</f>
        <v>Thành phố Hà Nội</v>
      </c>
      <c r="O97" s="10"/>
      <c r="P97" s="10"/>
      <c r="Q97" s="10"/>
      <c r="R97" s="10"/>
      <c r="S97" s="10"/>
      <c r="T97" s="3" t="s">
        <v>653</v>
      </c>
      <c r="U97" s="3"/>
      <c r="V97" s="3"/>
      <c r="W97" s="3" t="str">
        <f>IF(
    COUNTIFS(
        [1]Main!$F:$F,$B97,
        [1]Main!$N:$N,$C97
    )&gt;0,
    "Active",
    IF(
        COUNTIFS(
            [2]Main!$F:$F,$B97,
            [2]Main!$N:$N,$C97
        )&gt;0,
        "Inactive",
        "Không tìm thấy"
    )
)</f>
        <v>Active</v>
      </c>
      <c r="X97" s="15" t="str" cm="1">
        <f t="array" ref="X97">IFERROR(
_xlfn.XLOOKUP(
1,
(TRIM(CLEAN(SUBSTITUTE([2]Main!$F$2:$F$5000,CHAR(160)," ")))=
TRIM(CLEAN(SUBSTITUTE($B97,CHAR(160)," "))))
*
(--TEXT([2]Main!$N$2:$N$5000,"dd/mm/yyyy")=
--TEXT($C97,"dd/mm/yyyy")),
[2]Main!$AA$2:$AA$5000,
""
),
"")</f>
        <v/>
      </c>
      <c r="Y97" s="3"/>
      <c r="Z97" s="3"/>
      <c r="AA97" s="3"/>
      <c r="AB97" s="3"/>
    </row>
    <row r="98" spans="1:28" ht="38.25" customHeight="1" x14ac:dyDescent="0.25">
      <c r="A98" s="1">
        <v>97</v>
      </c>
      <c r="B98" s="2" t="s">
        <v>517</v>
      </c>
      <c r="C98" s="2" t="s">
        <v>518</v>
      </c>
      <c r="D98" s="2" t="s">
        <v>519</v>
      </c>
      <c r="E98" s="2" t="s">
        <v>53</v>
      </c>
      <c r="F98" s="2" t="s">
        <v>335</v>
      </c>
      <c r="G98" s="2" t="s">
        <v>336</v>
      </c>
      <c r="H98" s="1" t="s">
        <v>513</v>
      </c>
      <c r="I98" s="1" t="s">
        <v>14</v>
      </c>
      <c r="J98" s="2" t="s">
        <v>15</v>
      </c>
      <c r="K98" s="13" t="str" cm="1">
        <f t="array" ref="K98">IFERROR(
_xlfn.XLOOKUP(
1,
(TRIM(CLEAN(SUBSTITUTE([1]Main!$F$2:$F$5000,CHAR(160)," ")))=
TRIM(CLEAN(SUBSTITUTE($B98,CHAR(160)," "))))
*
(--TEXT([1]Main!$N$2:$N$5000,"dd/mm/yyyy")=
--TEXT($C98,"dd/mm/yyyy")),
[1]Main!$C$2:$C$5000
),
_xlfn.XLOOKUP(
1,
(TRIM(CLEAN(SUBSTITUTE([2]Main!$F$2:$F$5000,CHAR(160)," ")))=
TRIM(CLEAN(SUBSTITUTE($B98,CHAR(160)," "))))
*
(--TEXT([2]Main!$N$2:$N$5000,"dd/mm/yyyy")=
--TEXT($C98,"dd/mm/yyyy")),
[2]Main!$C$2:$C$5000,
"Không tìm thấy"
)
)</f>
        <v>027203004469</v>
      </c>
      <c r="L98" s="13" t="str" cm="1">
        <f t="array" ref="L98">IFERROR(
_xlfn.XLOOKUP(
1,
(TRIM(CLEAN(SUBSTITUTE([1]Main!$F$2:$F$5000,CHAR(160)," ")))=
TRIM(CLEAN(SUBSTITUTE($B98,CHAR(160)," "))))
*
(--TEXT([1]Main!$N$2:$N$5000,"dd/mm/yyyy")=
--TEXT($C98,"dd/mm/yyyy")),
[1]Main!$Q$2:$Q$5000
),
_xlfn.XLOOKUP(
1,
(TRIM(CLEAN(SUBSTITUTE([2]Main!$F$2:$F$5000,CHAR(160)," ")))=
TRIM(CLEAN(SUBSTITUTE($B98,CHAR(160)," "))))
*
(--TEXT([2]Main!$N$2:$N$5000,"dd/mm/yyyy")=
--TEXT($C98,"dd/mm/yyyy")),
[2]Main!$Q$2:$Q$5000,
"Không tìm thấy"
)
)</f>
        <v>Nam</v>
      </c>
      <c r="M98" s="13" t="str" cm="1">
        <f t="array" ref="M98">IFERROR(
_xlfn.XLOOKUP(
1,
(TRIM(CLEAN(SUBSTITUTE([1]Main!$F$2:$F$5000,CHAR(160)," ")))=
TRIM(CLEAN(SUBSTITUTE($B98,CHAR(160)," "))))
*
(--TEXT([1]Main!$N$2:$N$5000,"dd/mm/yyyy")=
--TEXT($C98,"dd/mm/yyyy")),
[1]Main!$S$2:$S$5000
),
_xlfn.XLOOKUP(
1,
(TRIM(CLEAN(SUBSTITUTE([2]Main!$F$2:$F$5000,CHAR(160)," ")))=
TRIM(CLEAN(SUBSTITUTE($B98,CHAR(160)," "))))
*
(--TEXT([2]Main!$N$2:$N$5000,"dd/mm/yyyy")=
--TEXT($C98,"dd/mm/yyyy")),
[2]Main!$S$2:$S$5000,
"Không tìm thấy"
)
)</f>
        <v>VN</v>
      </c>
      <c r="N98" s="13" t="str" cm="1">
        <f t="array" ref="N98">IFERROR(
_xlfn.XLOOKUP(
1,
(TRIM(CLEAN(SUBSTITUTE([1]Main!$F$2:$F$5000,CHAR(160)," ")))=
TRIM(CLEAN(SUBSTITUTE($B98,CHAR(160)," "))))
*
(--TEXT([1]Main!$N$2:$N$5000,"dd/mm/yyyy")=
--TEXT($C98,"dd/mm/yyyy")),
[1]Main!$AL$2:$AL$5000
),
_xlfn.XLOOKUP(
1,
(TRIM(CLEAN(SUBSTITUTE([2]Main!$F$2:$F$5000,CHAR(160)," ")))=
TRIM(CLEAN(SUBSTITUTE($B98,CHAR(160)," "))))
*
(--TEXT([2]Main!$N$2:$N$5000,"dd/mm/yyyy")=
--TEXT($C98,"dd/mm/yyyy")),
[2]Main!$AL$2:$AL$5000,
"Không tìm thấy"
)
)</f>
        <v>Thành phố Hà Nội</v>
      </c>
      <c r="O98" s="10"/>
      <c r="P98" s="10"/>
      <c r="Q98" s="10"/>
      <c r="R98" s="10"/>
      <c r="S98" s="10"/>
      <c r="T98" s="3" t="s">
        <v>653</v>
      </c>
      <c r="U98" s="3"/>
      <c r="V98" s="3"/>
      <c r="W98" s="3" t="str">
        <f>IF(
    COUNTIFS(
        [1]Main!$F:$F,$B98,
        [1]Main!$N:$N,$C98
    )&gt;0,
    "Active",
    IF(
        COUNTIFS(
            [2]Main!$F:$F,$B98,
            [2]Main!$N:$N,$C98
        )&gt;0,
        "Inactive",
        "Không tìm thấy"
    )
)</f>
        <v>Active</v>
      </c>
      <c r="X98" s="15" t="str" cm="1">
        <f t="array" ref="X98">IFERROR(
_xlfn.XLOOKUP(
1,
(TRIM(CLEAN(SUBSTITUTE([2]Main!$F$2:$F$5000,CHAR(160)," ")))=
TRIM(CLEAN(SUBSTITUTE($B98,CHAR(160)," "))))
*
(--TEXT([2]Main!$N$2:$N$5000,"dd/mm/yyyy")=
--TEXT($C98,"dd/mm/yyyy")),
[2]Main!$AA$2:$AA$5000,
""
),
"")</f>
        <v/>
      </c>
      <c r="Y98" s="3"/>
      <c r="Z98" s="3"/>
      <c r="AA98" s="3"/>
      <c r="AB98" s="3"/>
    </row>
    <row r="99" spans="1:28" ht="38.25" customHeight="1" x14ac:dyDescent="0.25">
      <c r="A99" s="1">
        <v>98</v>
      </c>
      <c r="B99" s="2" t="s">
        <v>520</v>
      </c>
      <c r="C99" s="2" t="s">
        <v>521</v>
      </c>
      <c r="D99" s="2" t="s">
        <v>522</v>
      </c>
      <c r="E99" s="2" t="s">
        <v>257</v>
      </c>
      <c r="F99" s="2" t="s">
        <v>252</v>
      </c>
      <c r="G99" s="2" t="s">
        <v>253</v>
      </c>
      <c r="H99" s="1" t="s">
        <v>523</v>
      </c>
      <c r="I99" s="1" t="s">
        <v>14</v>
      </c>
      <c r="J99" s="2" t="s">
        <v>15</v>
      </c>
      <c r="K99" s="13" t="str" cm="1">
        <f t="array" ref="K99">IFERROR(
_xlfn.XLOOKUP(
1,
(TRIM(CLEAN(SUBSTITUTE([1]Main!$F$2:$F$5000,CHAR(160)," ")))=
TRIM(CLEAN(SUBSTITUTE($B99,CHAR(160)," "))))
*
(--TEXT([1]Main!$N$2:$N$5000,"dd/mm/yyyy")=
--TEXT($C99,"dd/mm/yyyy")),
[1]Main!$C$2:$C$5000
),
_xlfn.XLOOKUP(
1,
(TRIM(CLEAN(SUBSTITUTE([2]Main!$F$2:$F$5000,CHAR(160)," ")))=
TRIM(CLEAN(SUBSTITUTE($B99,CHAR(160)," "))))
*
(--TEXT([2]Main!$N$2:$N$5000,"dd/mm/yyyy")=
--TEXT($C99,"dd/mm/yyyy")),
[2]Main!$C$2:$C$5000,
"Không tìm thấy"
)
)</f>
        <v>033303002450</v>
      </c>
      <c r="L99" s="13" t="str" cm="1">
        <f t="array" ref="L99">IFERROR(
_xlfn.XLOOKUP(
1,
(TRIM(CLEAN(SUBSTITUTE([1]Main!$F$2:$F$5000,CHAR(160)," ")))=
TRIM(CLEAN(SUBSTITUTE($B99,CHAR(160)," "))))
*
(--TEXT([1]Main!$N$2:$N$5000,"dd/mm/yyyy")=
--TEXT($C99,"dd/mm/yyyy")),
[1]Main!$Q$2:$Q$5000
),
_xlfn.XLOOKUP(
1,
(TRIM(CLEAN(SUBSTITUTE([2]Main!$F$2:$F$5000,CHAR(160)," ")))=
TRIM(CLEAN(SUBSTITUTE($B99,CHAR(160)," "))))
*
(--TEXT([2]Main!$N$2:$N$5000,"dd/mm/yyyy")=
--TEXT($C99,"dd/mm/yyyy")),
[2]Main!$Q$2:$Q$5000,
"Không tìm thấy"
)
)</f>
        <v>Nữ</v>
      </c>
      <c r="M99" s="13" t="str" cm="1">
        <f t="array" ref="M99">IFERROR(
_xlfn.XLOOKUP(
1,
(TRIM(CLEAN(SUBSTITUTE([1]Main!$F$2:$F$5000,CHAR(160)," ")))=
TRIM(CLEAN(SUBSTITUTE($B99,CHAR(160)," "))))
*
(--TEXT([1]Main!$N$2:$N$5000,"dd/mm/yyyy")=
--TEXT($C99,"dd/mm/yyyy")),
[1]Main!$S$2:$S$5000
),
_xlfn.XLOOKUP(
1,
(TRIM(CLEAN(SUBSTITUTE([2]Main!$F$2:$F$5000,CHAR(160)," ")))=
TRIM(CLEAN(SUBSTITUTE($B99,CHAR(160)," "))))
*
(--TEXT([2]Main!$N$2:$N$5000,"dd/mm/yyyy")=
--TEXT($C99,"dd/mm/yyyy")),
[2]Main!$S$2:$S$5000,
"Không tìm thấy"
)
)</f>
        <v>VN</v>
      </c>
      <c r="N99" s="13" t="str" cm="1">
        <f t="array" ref="N99">IFERROR(
_xlfn.XLOOKUP(
1,
(TRIM(CLEAN(SUBSTITUTE([1]Main!$F$2:$F$5000,CHAR(160)," ")))=
TRIM(CLEAN(SUBSTITUTE($B99,CHAR(160)," "))))
*
(--TEXT([1]Main!$N$2:$N$5000,"dd/mm/yyyy")=
--TEXT($C99,"dd/mm/yyyy")),
[1]Main!$AL$2:$AL$5000
),
_xlfn.XLOOKUP(
1,
(TRIM(CLEAN(SUBSTITUTE([2]Main!$F$2:$F$5000,CHAR(160)," ")))=
TRIM(CLEAN(SUBSTITUTE($B99,CHAR(160)," "))))
*
(--TEXT([2]Main!$N$2:$N$5000,"dd/mm/yyyy")=
--TEXT($C99,"dd/mm/yyyy")),
[2]Main!$AL$2:$AL$5000,
"Không tìm thấy"
)
)</f>
        <v>Thành phố Hà Nội</v>
      </c>
      <c r="O99" s="10"/>
      <c r="P99" s="10"/>
      <c r="Q99" s="10"/>
      <c r="R99" s="10"/>
      <c r="S99" s="10"/>
      <c r="T99" s="3" t="s">
        <v>653</v>
      </c>
      <c r="U99" s="3"/>
      <c r="V99" s="3"/>
      <c r="W99" s="3" t="str">
        <f>IF(
    COUNTIFS(
        [1]Main!$F:$F,$B99,
        [1]Main!$N:$N,$C99
    )&gt;0,
    "Active",
    IF(
        COUNTIFS(
            [2]Main!$F:$F,$B99,
            [2]Main!$N:$N,$C99
        )&gt;0,
        "Inactive",
        "Không tìm thấy"
    )
)</f>
        <v>Active</v>
      </c>
      <c r="X99" s="15" t="str" cm="1">
        <f t="array" ref="X99">IFERROR(
_xlfn.XLOOKUP(
1,
(TRIM(CLEAN(SUBSTITUTE([2]Main!$F$2:$F$5000,CHAR(160)," ")))=
TRIM(CLEAN(SUBSTITUTE($B99,CHAR(160)," "))))
*
(--TEXT([2]Main!$N$2:$N$5000,"dd/mm/yyyy")=
--TEXT($C99,"dd/mm/yyyy")),
[2]Main!$AA$2:$AA$5000,
""
),
"")</f>
        <v/>
      </c>
      <c r="Y99" s="3"/>
      <c r="Z99" s="3"/>
      <c r="AA99" s="3"/>
      <c r="AB99" s="3"/>
    </row>
    <row r="100" spans="1:28" ht="38.25" customHeight="1" x14ac:dyDescent="0.25">
      <c r="A100" s="1">
        <v>99</v>
      </c>
      <c r="B100" s="2" t="s">
        <v>524</v>
      </c>
      <c r="C100" s="2" t="s">
        <v>525</v>
      </c>
      <c r="D100" s="2" t="s">
        <v>526</v>
      </c>
      <c r="E100" s="2" t="s">
        <v>527</v>
      </c>
      <c r="F100" s="2" t="s">
        <v>61</v>
      </c>
      <c r="G100" s="2" t="s">
        <v>21</v>
      </c>
      <c r="H100" s="1" t="s">
        <v>528</v>
      </c>
      <c r="I100" s="1" t="s">
        <v>14</v>
      </c>
      <c r="J100" s="2" t="s">
        <v>126</v>
      </c>
      <c r="K100" s="13" t="str" cm="1">
        <f t="array" ref="K100">IFERROR(
_xlfn.XLOOKUP(
1,
(TRIM(CLEAN(SUBSTITUTE([1]Main!$F$2:$F$5000,CHAR(160)," ")))=
TRIM(CLEAN(SUBSTITUTE($B100,CHAR(160)," "))))
*
(--TEXT([1]Main!$N$2:$N$5000,"dd/mm/yyyy")=
--TEXT($C100,"dd/mm/yyyy")),
[1]Main!$C$2:$C$5000
),
_xlfn.XLOOKUP(
1,
(TRIM(CLEAN(SUBSTITUTE([2]Main!$F$2:$F$5000,CHAR(160)," ")))=
TRIM(CLEAN(SUBSTITUTE($B100,CHAR(160)," "))))
*
(--TEXT([2]Main!$N$2:$N$5000,"dd/mm/yyyy")=
--TEXT($C100,"dd/mm/yyyy")),
[2]Main!$C$2:$C$5000,
"Không tìm thấy"
)
)</f>
        <v>Không tìm thấy</v>
      </c>
      <c r="L100" s="13" t="str" cm="1">
        <f t="array" ref="L100">IFERROR(
_xlfn.XLOOKUP(
1,
(TRIM(CLEAN(SUBSTITUTE([1]Main!$F$2:$F$5000,CHAR(160)," ")))=
TRIM(CLEAN(SUBSTITUTE($B100,CHAR(160)," "))))
*
(--TEXT([1]Main!$N$2:$N$5000,"dd/mm/yyyy")=
--TEXT($C100,"dd/mm/yyyy")),
[1]Main!$Q$2:$Q$5000
),
_xlfn.XLOOKUP(
1,
(TRIM(CLEAN(SUBSTITUTE([2]Main!$F$2:$F$5000,CHAR(160)," ")))=
TRIM(CLEAN(SUBSTITUTE($B100,CHAR(160)," "))))
*
(--TEXT([2]Main!$N$2:$N$5000,"dd/mm/yyyy")=
--TEXT($C100,"dd/mm/yyyy")),
[2]Main!$Q$2:$Q$5000,
"Không tìm thấy"
)
)</f>
        <v>Không tìm thấy</v>
      </c>
      <c r="M100" s="13" t="str" cm="1">
        <f t="array" ref="M100">IFERROR(
_xlfn.XLOOKUP(
1,
(TRIM(CLEAN(SUBSTITUTE([1]Main!$F$2:$F$5000,CHAR(160)," ")))=
TRIM(CLEAN(SUBSTITUTE($B100,CHAR(160)," "))))
*
(--TEXT([1]Main!$N$2:$N$5000,"dd/mm/yyyy")=
--TEXT($C100,"dd/mm/yyyy")),
[1]Main!$S$2:$S$5000
),
_xlfn.XLOOKUP(
1,
(TRIM(CLEAN(SUBSTITUTE([2]Main!$F$2:$F$5000,CHAR(160)," ")))=
TRIM(CLEAN(SUBSTITUTE($B100,CHAR(160)," "))))
*
(--TEXT([2]Main!$N$2:$N$5000,"dd/mm/yyyy")=
--TEXT($C100,"dd/mm/yyyy")),
[2]Main!$S$2:$S$5000,
"Không tìm thấy"
)
)</f>
        <v>Không tìm thấy</v>
      </c>
      <c r="N100" s="13" t="str" cm="1">
        <f t="array" ref="N100">IFERROR(
_xlfn.XLOOKUP(
1,
(TRIM(CLEAN(SUBSTITUTE([1]Main!$F$2:$F$5000,CHAR(160)," ")))=
TRIM(CLEAN(SUBSTITUTE($B100,CHAR(160)," "))))
*
(--TEXT([1]Main!$N$2:$N$5000,"dd/mm/yyyy")=
--TEXT($C100,"dd/mm/yyyy")),
[1]Main!$AL$2:$AL$5000
),
_xlfn.XLOOKUP(
1,
(TRIM(CLEAN(SUBSTITUTE([2]Main!$F$2:$F$5000,CHAR(160)," ")))=
TRIM(CLEAN(SUBSTITUTE($B100,CHAR(160)," "))))
*
(--TEXT([2]Main!$N$2:$N$5000,"dd/mm/yyyy")=
--TEXT($C100,"dd/mm/yyyy")),
[2]Main!$AL$2:$AL$5000,
"Không tìm thấy"
)
)</f>
        <v>Không tìm thấy</v>
      </c>
      <c r="O100" s="10"/>
      <c r="P100" s="10"/>
      <c r="Q100" s="10"/>
      <c r="R100" s="10"/>
      <c r="S100" s="10"/>
      <c r="T100" s="3" t="s">
        <v>653</v>
      </c>
      <c r="U100" s="3"/>
      <c r="V100" s="3"/>
      <c r="W100" s="3" t="str">
        <f>IF(
    COUNTIFS(
        [1]Main!$F:$F,$B100,
        [1]Main!$N:$N,$C100
    )&gt;0,
    "Active",
    IF(
        COUNTIFS(
            [2]Main!$F:$F,$B100,
            [2]Main!$N:$N,$C100
        )&gt;0,
        "Inactive",
        "Không tìm thấy"
    )
)</f>
        <v>Không tìm thấy</v>
      </c>
      <c r="X100" s="15" t="str" cm="1">
        <f t="array" ref="X100">IFERROR(
_xlfn.XLOOKUP(
1,
(TRIM(CLEAN(SUBSTITUTE([2]Main!$F$2:$F$5000,CHAR(160)," ")))=
TRIM(CLEAN(SUBSTITUTE($B100,CHAR(160)," "))))
*
(--TEXT([2]Main!$N$2:$N$5000,"dd/mm/yyyy")=
--TEXT($C100,"dd/mm/yyyy")),
[2]Main!$AA$2:$AA$5000,
""
),
"")</f>
        <v/>
      </c>
      <c r="Y100" s="3"/>
      <c r="Z100" s="3"/>
      <c r="AA100" s="3"/>
      <c r="AB100" s="3"/>
    </row>
    <row r="101" spans="1:28" ht="25.5" customHeight="1" x14ac:dyDescent="0.25">
      <c r="A101" s="1">
        <v>100</v>
      </c>
      <c r="B101" s="2" t="s">
        <v>529</v>
      </c>
      <c r="C101" s="2" t="s">
        <v>530</v>
      </c>
      <c r="D101" s="2" t="s">
        <v>531</v>
      </c>
      <c r="E101" s="2" t="s">
        <v>257</v>
      </c>
      <c r="F101" s="2" t="s">
        <v>252</v>
      </c>
      <c r="G101" s="2" t="s">
        <v>258</v>
      </c>
      <c r="H101" s="1" t="s">
        <v>532</v>
      </c>
      <c r="I101" s="1" t="s">
        <v>14</v>
      </c>
      <c r="J101" s="2" t="s">
        <v>30</v>
      </c>
      <c r="K101" s="13" t="str" cm="1">
        <f t="array" ref="K101">IFERROR(
_xlfn.XLOOKUP(
1,
(TRIM(CLEAN(SUBSTITUTE([1]Main!$F$2:$F$5000,CHAR(160)," ")))=
TRIM(CLEAN(SUBSTITUTE($B101,CHAR(160)," "))))
*
(--TEXT([1]Main!$N$2:$N$5000,"dd/mm/yyyy")=
--TEXT($C101,"dd/mm/yyyy")),
[1]Main!$C$2:$C$5000
),
_xlfn.XLOOKUP(
1,
(TRIM(CLEAN(SUBSTITUTE([2]Main!$F$2:$F$5000,CHAR(160)," ")))=
TRIM(CLEAN(SUBSTITUTE($B101,CHAR(160)," "))))
*
(--TEXT([2]Main!$N$2:$N$5000,"dd/mm/yyyy")=
--TEXT($C101,"dd/mm/yyyy")),
[2]Main!$C$2:$C$5000,
"Không tìm thấy"
)
)</f>
        <v>001304021143</v>
      </c>
      <c r="L101" s="13" t="str" cm="1">
        <f t="array" ref="L101">IFERROR(
_xlfn.XLOOKUP(
1,
(TRIM(CLEAN(SUBSTITUTE([1]Main!$F$2:$F$5000,CHAR(160)," ")))=
TRIM(CLEAN(SUBSTITUTE($B101,CHAR(160)," "))))
*
(--TEXT([1]Main!$N$2:$N$5000,"dd/mm/yyyy")=
--TEXT($C101,"dd/mm/yyyy")),
[1]Main!$Q$2:$Q$5000
),
_xlfn.XLOOKUP(
1,
(TRIM(CLEAN(SUBSTITUTE([2]Main!$F$2:$F$5000,CHAR(160)," ")))=
TRIM(CLEAN(SUBSTITUTE($B101,CHAR(160)," "))))
*
(--TEXT([2]Main!$N$2:$N$5000,"dd/mm/yyyy")=
--TEXT($C101,"dd/mm/yyyy")),
[2]Main!$Q$2:$Q$5000,
"Không tìm thấy"
)
)</f>
        <v>Nữ</v>
      </c>
      <c r="M101" s="13" t="str" cm="1">
        <f t="array" ref="M101">IFERROR(
_xlfn.XLOOKUP(
1,
(TRIM(CLEAN(SUBSTITUTE([1]Main!$F$2:$F$5000,CHAR(160)," ")))=
TRIM(CLEAN(SUBSTITUTE($B101,CHAR(160)," "))))
*
(--TEXT([1]Main!$N$2:$N$5000,"dd/mm/yyyy")=
--TEXT($C101,"dd/mm/yyyy")),
[1]Main!$S$2:$S$5000
),
_xlfn.XLOOKUP(
1,
(TRIM(CLEAN(SUBSTITUTE([2]Main!$F$2:$F$5000,CHAR(160)," ")))=
TRIM(CLEAN(SUBSTITUTE($B101,CHAR(160)," "))))
*
(--TEXT([2]Main!$N$2:$N$5000,"dd/mm/yyyy")=
--TEXT($C101,"dd/mm/yyyy")),
[2]Main!$S$2:$S$5000,
"Không tìm thấy"
)
)</f>
        <v>VN</v>
      </c>
      <c r="N101" s="13" t="str" cm="1">
        <f t="array" ref="N101">IFERROR(
_xlfn.XLOOKUP(
1,
(TRIM(CLEAN(SUBSTITUTE([1]Main!$F$2:$F$5000,CHAR(160)," ")))=
TRIM(CLEAN(SUBSTITUTE($B101,CHAR(160)," "))))
*
(--TEXT([1]Main!$N$2:$N$5000,"dd/mm/yyyy")=
--TEXT($C101,"dd/mm/yyyy")),
[1]Main!$AL$2:$AL$5000
),
_xlfn.XLOOKUP(
1,
(TRIM(CLEAN(SUBSTITUTE([2]Main!$F$2:$F$5000,CHAR(160)," ")))=
TRIM(CLEAN(SUBSTITUTE($B101,CHAR(160)," "))))
*
(--TEXT([2]Main!$N$2:$N$5000,"dd/mm/yyyy")=
--TEXT($C101,"dd/mm/yyyy")),
[2]Main!$AL$2:$AL$5000,
"Không tìm thấy"
)
)</f>
        <v>Thành phố Hà Nội</v>
      </c>
      <c r="O101" s="10"/>
      <c r="P101" s="10"/>
      <c r="Q101" s="10"/>
      <c r="R101" s="10"/>
      <c r="S101" s="10"/>
      <c r="T101" s="3" t="s">
        <v>653</v>
      </c>
      <c r="U101" s="3"/>
      <c r="V101" s="3"/>
      <c r="W101" s="3" t="str">
        <f>IF(
    COUNTIFS(
        [1]Main!$F:$F,$B101,
        [1]Main!$N:$N,$C101
    )&gt;0,
    "Active",
    IF(
        COUNTIFS(
            [2]Main!$F:$F,$B101,
            [2]Main!$N:$N,$C101
        )&gt;0,
        "Inactive",
        "Không tìm thấy"
    )
)</f>
        <v>Active</v>
      </c>
      <c r="X101" s="15" t="str" cm="1">
        <f t="array" ref="X101">IFERROR(
_xlfn.XLOOKUP(
1,
(TRIM(CLEAN(SUBSTITUTE([2]Main!$F$2:$F$5000,CHAR(160)," ")))=
TRIM(CLEAN(SUBSTITUTE($B101,CHAR(160)," "))))
*
(--TEXT([2]Main!$N$2:$N$5000,"dd/mm/yyyy")=
--TEXT($C101,"dd/mm/yyyy")),
[2]Main!$AA$2:$AA$5000,
""
),
"")</f>
        <v/>
      </c>
      <c r="Y101" s="3"/>
      <c r="Z101" s="3"/>
      <c r="AA101" s="3"/>
      <c r="AB101" s="3"/>
    </row>
    <row r="102" spans="1:28" ht="25.5" customHeight="1" x14ac:dyDescent="0.25">
      <c r="A102" s="1">
        <v>101</v>
      </c>
      <c r="B102" s="2" t="s">
        <v>533</v>
      </c>
      <c r="C102" s="2" t="s">
        <v>534</v>
      </c>
      <c r="D102" s="2" t="s">
        <v>535</v>
      </c>
      <c r="E102" s="2" t="s">
        <v>536</v>
      </c>
      <c r="F102" s="2" t="s">
        <v>537</v>
      </c>
      <c r="G102" s="2" t="s">
        <v>538</v>
      </c>
      <c r="H102" s="1" t="s">
        <v>528</v>
      </c>
      <c r="I102" s="1" t="s">
        <v>14</v>
      </c>
      <c r="J102" s="2" t="s">
        <v>15</v>
      </c>
      <c r="K102" s="13" t="str" cm="1">
        <f t="array" ref="K102">IFERROR(
_xlfn.XLOOKUP(
1,
(TRIM(CLEAN(SUBSTITUTE([1]Main!$F$2:$F$5000,CHAR(160)," ")))=
TRIM(CLEAN(SUBSTITUTE($B102,CHAR(160)," "))))
*
(--TEXT([1]Main!$N$2:$N$5000,"dd/mm/yyyy")=
--TEXT($C102,"dd/mm/yyyy")),
[1]Main!$C$2:$C$5000
),
_xlfn.XLOOKUP(
1,
(TRIM(CLEAN(SUBSTITUTE([2]Main!$F$2:$F$5000,CHAR(160)," ")))=
TRIM(CLEAN(SUBSTITUTE($B102,CHAR(160)," "))))
*
(--TEXT([2]Main!$N$2:$N$5000,"dd/mm/yyyy")=
--TEXT($C102,"dd/mm/yyyy")),
[2]Main!$C$2:$C$5000,
"Không tìm thấy"
)
)</f>
        <v>035203002353</v>
      </c>
      <c r="L102" s="13" t="str" cm="1">
        <f t="array" ref="L102">IFERROR(
_xlfn.XLOOKUP(
1,
(TRIM(CLEAN(SUBSTITUTE([1]Main!$F$2:$F$5000,CHAR(160)," ")))=
TRIM(CLEAN(SUBSTITUTE($B102,CHAR(160)," "))))
*
(--TEXT([1]Main!$N$2:$N$5000,"dd/mm/yyyy")=
--TEXT($C102,"dd/mm/yyyy")),
[1]Main!$Q$2:$Q$5000
),
_xlfn.XLOOKUP(
1,
(TRIM(CLEAN(SUBSTITUTE([2]Main!$F$2:$F$5000,CHAR(160)," ")))=
TRIM(CLEAN(SUBSTITUTE($B102,CHAR(160)," "))))
*
(--TEXT([2]Main!$N$2:$N$5000,"dd/mm/yyyy")=
--TEXT($C102,"dd/mm/yyyy")),
[2]Main!$Q$2:$Q$5000,
"Không tìm thấy"
)
)</f>
        <v>Nữ</v>
      </c>
      <c r="M102" s="13" t="str" cm="1">
        <f t="array" ref="M102">IFERROR(
_xlfn.XLOOKUP(
1,
(TRIM(CLEAN(SUBSTITUTE([1]Main!$F$2:$F$5000,CHAR(160)," ")))=
TRIM(CLEAN(SUBSTITUTE($B102,CHAR(160)," "))))
*
(--TEXT([1]Main!$N$2:$N$5000,"dd/mm/yyyy")=
--TEXT($C102,"dd/mm/yyyy")),
[1]Main!$S$2:$S$5000
),
_xlfn.XLOOKUP(
1,
(TRIM(CLEAN(SUBSTITUTE([2]Main!$F$2:$F$5000,CHAR(160)," ")))=
TRIM(CLEAN(SUBSTITUTE($B102,CHAR(160)," "))))
*
(--TEXT([2]Main!$N$2:$N$5000,"dd/mm/yyyy")=
--TEXT($C102,"dd/mm/yyyy")),
[2]Main!$S$2:$S$5000,
"Không tìm thấy"
)
)</f>
        <v>VN</v>
      </c>
      <c r="N102" s="13" t="str" cm="1">
        <f t="array" ref="N102">IFERROR(
_xlfn.XLOOKUP(
1,
(TRIM(CLEAN(SUBSTITUTE([1]Main!$F$2:$F$5000,CHAR(160)," ")))=
TRIM(CLEAN(SUBSTITUTE($B102,CHAR(160)," "))))
*
(--TEXT([1]Main!$N$2:$N$5000,"dd/mm/yyyy")=
--TEXT($C102,"dd/mm/yyyy")),
[1]Main!$AL$2:$AL$5000
),
_xlfn.XLOOKUP(
1,
(TRIM(CLEAN(SUBSTITUTE([2]Main!$F$2:$F$5000,CHAR(160)," ")))=
TRIM(CLEAN(SUBSTITUTE($B102,CHAR(160)," "))))
*
(--TEXT([2]Main!$N$2:$N$5000,"dd/mm/yyyy")=
--TEXT($C102,"dd/mm/yyyy")),
[2]Main!$AL$2:$AL$5000,
"Không tìm thấy"
)
)</f>
        <v>Thành phố Hà Nội</v>
      </c>
      <c r="O102" s="10"/>
      <c r="P102" s="10"/>
      <c r="Q102" s="10"/>
      <c r="R102" s="10"/>
      <c r="S102" s="10"/>
      <c r="T102" s="3" t="s">
        <v>653</v>
      </c>
      <c r="U102" s="3"/>
      <c r="V102" s="3"/>
      <c r="W102" s="3" t="str">
        <f>IF(
    COUNTIFS(
        [1]Main!$F:$F,$B102,
        [1]Main!$N:$N,$C102
    )&gt;0,
    "Active",
    IF(
        COUNTIFS(
            [2]Main!$F:$F,$B102,
            [2]Main!$N:$N,$C102
        )&gt;0,
        "Inactive",
        "Không tìm thấy"
    )
)</f>
        <v>Active</v>
      </c>
      <c r="X102" s="15" t="str" cm="1">
        <f t="array" ref="X102">IFERROR(
_xlfn.XLOOKUP(
1,
(TRIM(CLEAN(SUBSTITUTE([2]Main!$F$2:$F$5000,CHAR(160)," ")))=
TRIM(CLEAN(SUBSTITUTE($B102,CHAR(160)," "))))
*
(--TEXT([2]Main!$N$2:$N$5000,"dd/mm/yyyy")=
--TEXT($C102,"dd/mm/yyyy")),
[2]Main!$AA$2:$AA$5000,
""
),
"")</f>
        <v/>
      </c>
      <c r="Y102" s="3"/>
      <c r="Z102" s="3"/>
      <c r="AA102" s="3"/>
      <c r="AB102" s="3"/>
    </row>
    <row r="103" spans="1:28" ht="38.25" customHeight="1" x14ac:dyDescent="0.25">
      <c r="A103" s="1">
        <v>102</v>
      </c>
      <c r="B103" s="2" t="s">
        <v>539</v>
      </c>
      <c r="C103" s="2" t="s">
        <v>540</v>
      </c>
      <c r="D103" s="2" t="s">
        <v>541</v>
      </c>
      <c r="E103" s="2" t="s">
        <v>542</v>
      </c>
      <c r="F103" s="2" t="s">
        <v>543</v>
      </c>
      <c r="G103" s="2" t="s">
        <v>544</v>
      </c>
      <c r="H103" s="1" t="s">
        <v>528</v>
      </c>
      <c r="I103" s="1" t="s">
        <v>14</v>
      </c>
      <c r="J103" s="2" t="s">
        <v>15</v>
      </c>
      <c r="K103" s="13" t="str" cm="1">
        <f t="array" ref="K103">IFERROR(
_xlfn.XLOOKUP(
1,
(TRIM(CLEAN(SUBSTITUTE([1]Main!$F$2:$F$5000,CHAR(160)," ")))=
TRIM(CLEAN(SUBSTITUTE($B103,CHAR(160)," "))))
*
(--TEXT([1]Main!$N$2:$N$5000,"dd/mm/yyyy")=
--TEXT($C103,"dd/mm/yyyy")),
[1]Main!$C$2:$C$5000
),
_xlfn.XLOOKUP(
1,
(TRIM(CLEAN(SUBSTITUTE([2]Main!$F$2:$F$5000,CHAR(160)," ")))=
TRIM(CLEAN(SUBSTITUTE($B103,CHAR(160)," "))))
*
(--TEXT([2]Main!$N$2:$N$5000,"dd/mm/yyyy")=
--TEXT($C103,"dd/mm/yyyy")),
[2]Main!$C$2:$C$5000,
"Không tìm thấy"
)
)</f>
        <v>001085001642</v>
      </c>
      <c r="L103" s="13" t="str" cm="1">
        <f t="array" ref="L103">IFERROR(
_xlfn.XLOOKUP(
1,
(TRIM(CLEAN(SUBSTITUTE([1]Main!$F$2:$F$5000,CHAR(160)," ")))=
TRIM(CLEAN(SUBSTITUTE($B103,CHAR(160)," "))))
*
(--TEXT([1]Main!$N$2:$N$5000,"dd/mm/yyyy")=
--TEXT($C103,"dd/mm/yyyy")),
[1]Main!$Q$2:$Q$5000
),
_xlfn.XLOOKUP(
1,
(TRIM(CLEAN(SUBSTITUTE([2]Main!$F$2:$F$5000,CHAR(160)," ")))=
TRIM(CLEAN(SUBSTITUTE($B103,CHAR(160)," "))))
*
(--TEXT([2]Main!$N$2:$N$5000,"dd/mm/yyyy")=
--TEXT($C103,"dd/mm/yyyy")),
[2]Main!$Q$2:$Q$5000,
"Không tìm thấy"
)
)</f>
        <v>Nam</v>
      </c>
      <c r="M103" s="13" t="str" cm="1">
        <f t="array" ref="M103">IFERROR(
_xlfn.XLOOKUP(
1,
(TRIM(CLEAN(SUBSTITUTE([1]Main!$F$2:$F$5000,CHAR(160)," ")))=
TRIM(CLEAN(SUBSTITUTE($B103,CHAR(160)," "))))
*
(--TEXT([1]Main!$N$2:$N$5000,"dd/mm/yyyy")=
--TEXT($C103,"dd/mm/yyyy")),
[1]Main!$S$2:$S$5000
),
_xlfn.XLOOKUP(
1,
(TRIM(CLEAN(SUBSTITUTE([2]Main!$F$2:$F$5000,CHAR(160)," ")))=
TRIM(CLEAN(SUBSTITUTE($B103,CHAR(160)," "))))
*
(--TEXT([2]Main!$N$2:$N$5000,"dd/mm/yyyy")=
--TEXT($C103,"dd/mm/yyyy")),
[2]Main!$S$2:$S$5000,
"Không tìm thấy"
)
)</f>
        <v>VN</v>
      </c>
      <c r="N103" s="13" t="str" cm="1">
        <f t="array" ref="N103">IFERROR(
_xlfn.XLOOKUP(
1,
(TRIM(CLEAN(SUBSTITUTE([1]Main!$F$2:$F$5000,CHAR(160)," ")))=
TRIM(CLEAN(SUBSTITUTE($B103,CHAR(160)," "))))
*
(--TEXT([1]Main!$N$2:$N$5000,"dd/mm/yyyy")=
--TEXT($C103,"dd/mm/yyyy")),
[1]Main!$AL$2:$AL$5000
),
_xlfn.XLOOKUP(
1,
(TRIM(CLEAN(SUBSTITUTE([2]Main!$F$2:$F$5000,CHAR(160)," ")))=
TRIM(CLEAN(SUBSTITUTE($B103,CHAR(160)," "))))
*
(--TEXT([2]Main!$N$2:$N$5000,"dd/mm/yyyy")=
--TEXT($C103,"dd/mm/yyyy")),
[2]Main!$AL$2:$AL$5000,
"Không tìm thấy"
)
)</f>
        <v>Thành phố Hà Nội</v>
      </c>
      <c r="O103" s="10"/>
      <c r="P103" s="10"/>
      <c r="Q103" s="10"/>
      <c r="R103" s="10"/>
      <c r="S103" s="10"/>
      <c r="T103" s="3" t="s">
        <v>653</v>
      </c>
      <c r="U103" s="3"/>
      <c r="V103" s="3"/>
      <c r="W103" s="3" t="str">
        <f>IF(
    COUNTIFS(
        [1]Main!$F:$F,$B103,
        [1]Main!$N:$N,$C103
    )&gt;0,
    "Active",
    IF(
        COUNTIFS(
            [2]Main!$F:$F,$B103,
            [2]Main!$N:$N,$C103
        )&gt;0,
        "Inactive",
        "Không tìm thấy"
    )
)</f>
        <v>Active</v>
      </c>
      <c r="X103" s="15" t="str" cm="1">
        <f t="array" ref="X103">IFERROR(
_xlfn.XLOOKUP(
1,
(TRIM(CLEAN(SUBSTITUTE([2]Main!$F$2:$F$5000,CHAR(160)," ")))=
TRIM(CLEAN(SUBSTITUTE($B103,CHAR(160)," "))))
*
(--TEXT([2]Main!$N$2:$N$5000,"dd/mm/yyyy")=
--TEXT($C103,"dd/mm/yyyy")),
[2]Main!$AA$2:$AA$5000,
""
),
"")</f>
        <v/>
      </c>
      <c r="Y103" s="3"/>
      <c r="Z103" s="3"/>
      <c r="AA103" s="3"/>
      <c r="AB103" s="3"/>
    </row>
    <row r="104" spans="1:28" ht="25.5" customHeight="1" x14ac:dyDescent="0.25">
      <c r="A104" s="1">
        <v>103</v>
      </c>
      <c r="B104" s="2" t="s">
        <v>545</v>
      </c>
      <c r="C104" s="2" t="s">
        <v>546</v>
      </c>
      <c r="D104" s="2" t="s">
        <v>547</v>
      </c>
      <c r="E104" s="2" t="s">
        <v>548</v>
      </c>
      <c r="F104" s="2" t="s">
        <v>315</v>
      </c>
      <c r="G104" s="2" t="s">
        <v>549</v>
      </c>
      <c r="H104" s="1" t="s">
        <v>528</v>
      </c>
      <c r="I104" s="1" t="s">
        <v>14</v>
      </c>
      <c r="J104" s="2" t="s">
        <v>15</v>
      </c>
      <c r="K104" s="13" t="str" cm="1">
        <f t="array" ref="K104">IFERROR(
_xlfn.XLOOKUP(
1,
(TRIM(CLEAN(SUBSTITUTE([1]Main!$F$2:$F$5000,CHAR(160)," ")))=
TRIM(CLEAN(SUBSTITUTE($B104,CHAR(160)," "))))
*
(--TEXT([1]Main!$N$2:$N$5000,"dd/mm/yyyy")=
--TEXT($C104,"dd/mm/yyyy")),
[1]Main!$C$2:$C$5000
),
_xlfn.XLOOKUP(
1,
(TRIM(CLEAN(SUBSTITUTE([2]Main!$F$2:$F$5000,CHAR(160)," ")))=
TRIM(CLEAN(SUBSTITUTE($B104,CHAR(160)," "))))
*
(--TEXT([2]Main!$N$2:$N$5000,"dd/mm/yyyy")=
--TEXT($C104,"dd/mm/yyyy")),
[2]Main!$C$2:$C$5000,
"Không tìm thấy"
)
)</f>
        <v>001204014017</v>
      </c>
      <c r="L104" s="13" t="str" cm="1">
        <f t="array" ref="L104">IFERROR(
_xlfn.XLOOKUP(
1,
(TRIM(CLEAN(SUBSTITUTE([1]Main!$F$2:$F$5000,CHAR(160)," ")))=
TRIM(CLEAN(SUBSTITUTE($B104,CHAR(160)," "))))
*
(--TEXT([1]Main!$N$2:$N$5000,"dd/mm/yyyy")=
--TEXT($C104,"dd/mm/yyyy")),
[1]Main!$Q$2:$Q$5000
),
_xlfn.XLOOKUP(
1,
(TRIM(CLEAN(SUBSTITUTE([2]Main!$F$2:$F$5000,CHAR(160)," ")))=
TRIM(CLEAN(SUBSTITUTE($B104,CHAR(160)," "))))
*
(--TEXT([2]Main!$N$2:$N$5000,"dd/mm/yyyy")=
--TEXT($C104,"dd/mm/yyyy")),
[2]Main!$Q$2:$Q$5000,
"Không tìm thấy"
)
)</f>
        <v>Nam</v>
      </c>
      <c r="M104" s="13" t="str" cm="1">
        <f t="array" ref="M104">IFERROR(
_xlfn.XLOOKUP(
1,
(TRIM(CLEAN(SUBSTITUTE([1]Main!$F$2:$F$5000,CHAR(160)," ")))=
TRIM(CLEAN(SUBSTITUTE($B104,CHAR(160)," "))))
*
(--TEXT([1]Main!$N$2:$N$5000,"dd/mm/yyyy")=
--TEXT($C104,"dd/mm/yyyy")),
[1]Main!$S$2:$S$5000
),
_xlfn.XLOOKUP(
1,
(TRIM(CLEAN(SUBSTITUTE([2]Main!$F$2:$F$5000,CHAR(160)," ")))=
TRIM(CLEAN(SUBSTITUTE($B104,CHAR(160)," "))))
*
(--TEXT([2]Main!$N$2:$N$5000,"dd/mm/yyyy")=
--TEXT($C104,"dd/mm/yyyy")),
[2]Main!$S$2:$S$5000,
"Không tìm thấy"
)
)</f>
        <v>VN</v>
      </c>
      <c r="N104" s="13" t="str" cm="1">
        <f t="array" ref="N104">IFERROR(
_xlfn.XLOOKUP(
1,
(TRIM(CLEAN(SUBSTITUTE([1]Main!$F$2:$F$5000,CHAR(160)," ")))=
TRIM(CLEAN(SUBSTITUTE($B104,CHAR(160)," "))))
*
(--TEXT([1]Main!$N$2:$N$5000,"dd/mm/yyyy")=
--TEXT($C104,"dd/mm/yyyy")),
[1]Main!$AL$2:$AL$5000
),
_xlfn.XLOOKUP(
1,
(TRIM(CLEAN(SUBSTITUTE([2]Main!$F$2:$F$5000,CHAR(160)," ")))=
TRIM(CLEAN(SUBSTITUTE($B104,CHAR(160)," "))))
*
(--TEXT([2]Main!$N$2:$N$5000,"dd/mm/yyyy")=
--TEXT($C104,"dd/mm/yyyy")),
[2]Main!$AL$2:$AL$5000,
"Không tìm thấy"
)
)</f>
        <v>Thành phố Hà Nội</v>
      </c>
      <c r="O104" s="10"/>
      <c r="P104" s="10"/>
      <c r="Q104" s="10"/>
      <c r="R104" s="10"/>
      <c r="S104" s="10"/>
      <c r="T104" s="3" t="s">
        <v>653</v>
      </c>
      <c r="U104" s="3"/>
      <c r="V104" s="3"/>
      <c r="W104" s="3" t="str">
        <f>IF(
    COUNTIFS(
        [1]Main!$F:$F,$B104,
        [1]Main!$N:$N,$C104
    )&gt;0,
    "Active",
    IF(
        COUNTIFS(
            [2]Main!$F:$F,$B104,
            [2]Main!$N:$N,$C104
        )&gt;0,
        "Inactive",
        "Không tìm thấy"
    )
)</f>
        <v>Active</v>
      </c>
      <c r="X104" s="15" t="str" cm="1">
        <f t="array" ref="X104">IFERROR(
_xlfn.XLOOKUP(
1,
(TRIM(CLEAN(SUBSTITUTE([2]Main!$F$2:$F$5000,CHAR(160)," ")))=
TRIM(CLEAN(SUBSTITUTE($B104,CHAR(160)," "))))
*
(--TEXT([2]Main!$N$2:$N$5000,"dd/mm/yyyy")=
--TEXT($C104,"dd/mm/yyyy")),
[2]Main!$AA$2:$AA$5000,
""
),
"")</f>
        <v/>
      </c>
      <c r="Y104" s="3"/>
      <c r="Z104" s="3"/>
      <c r="AA104" s="3"/>
      <c r="AB104" s="3"/>
    </row>
    <row r="105" spans="1:28" ht="38.25" customHeight="1" x14ac:dyDescent="0.25">
      <c r="A105" s="1">
        <v>104</v>
      </c>
      <c r="B105" s="2" t="s">
        <v>550</v>
      </c>
      <c r="C105" s="2" t="s">
        <v>551</v>
      </c>
      <c r="D105" s="2" t="s">
        <v>552</v>
      </c>
      <c r="E105" s="2" t="s">
        <v>53</v>
      </c>
      <c r="F105" s="2" t="s">
        <v>553</v>
      </c>
      <c r="G105" s="2" t="s">
        <v>142</v>
      </c>
      <c r="H105" s="1" t="s">
        <v>554</v>
      </c>
      <c r="I105" s="1" t="s">
        <v>14</v>
      </c>
      <c r="J105" s="2" t="s">
        <v>198</v>
      </c>
      <c r="K105" s="13" t="str" cm="1">
        <f t="array" ref="K105">IFERROR(
_xlfn.XLOOKUP(
1,
(TRIM(CLEAN(SUBSTITUTE([1]Main!$F$2:$F$5000,CHAR(160)," ")))=
TRIM(CLEAN(SUBSTITUTE($B105,CHAR(160)," "))))
*
(--TEXT([1]Main!$N$2:$N$5000,"dd/mm/yyyy")=
--TEXT($C105,"dd/mm/yyyy")),
[1]Main!$C$2:$C$5000
),
_xlfn.XLOOKUP(
1,
(TRIM(CLEAN(SUBSTITUTE([2]Main!$F$2:$F$5000,CHAR(160)," ")))=
TRIM(CLEAN(SUBSTITUTE($B105,CHAR(160)," "))))
*
(--TEXT([2]Main!$N$2:$N$5000,"dd/mm/yyyy")=
--TEXT($C105,"dd/mm/yyyy")),
[2]Main!$C$2:$C$5000,
"Không tìm thấy"
)
)</f>
        <v>030091006959</v>
      </c>
      <c r="L105" s="13" t="str" cm="1">
        <f t="array" ref="L105">IFERROR(
_xlfn.XLOOKUP(
1,
(TRIM(CLEAN(SUBSTITUTE([1]Main!$F$2:$F$5000,CHAR(160)," ")))=
TRIM(CLEAN(SUBSTITUTE($B105,CHAR(160)," "))))
*
(--TEXT([1]Main!$N$2:$N$5000,"dd/mm/yyyy")=
--TEXT($C105,"dd/mm/yyyy")),
[1]Main!$Q$2:$Q$5000
),
_xlfn.XLOOKUP(
1,
(TRIM(CLEAN(SUBSTITUTE([2]Main!$F$2:$F$5000,CHAR(160)," ")))=
TRIM(CLEAN(SUBSTITUTE($B105,CHAR(160)," "))))
*
(--TEXT([2]Main!$N$2:$N$5000,"dd/mm/yyyy")=
--TEXT($C105,"dd/mm/yyyy")),
[2]Main!$Q$2:$Q$5000,
"Không tìm thấy"
)
)</f>
        <v>Nam</v>
      </c>
      <c r="M105" s="13" t="str" cm="1">
        <f t="array" ref="M105">IFERROR(
_xlfn.XLOOKUP(
1,
(TRIM(CLEAN(SUBSTITUTE([1]Main!$F$2:$F$5000,CHAR(160)," ")))=
TRIM(CLEAN(SUBSTITUTE($B105,CHAR(160)," "))))
*
(--TEXT([1]Main!$N$2:$N$5000,"dd/mm/yyyy")=
--TEXT($C105,"dd/mm/yyyy")),
[1]Main!$S$2:$S$5000
),
_xlfn.XLOOKUP(
1,
(TRIM(CLEAN(SUBSTITUTE([2]Main!$F$2:$F$5000,CHAR(160)," ")))=
TRIM(CLEAN(SUBSTITUTE($B105,CHAR(160)," "))))
*
(--TEXT([2]Main!$N$2:$N$5000,"dd/mm/yyyy")=
--TEXT($C105,"dd/mm/yyyy")),
[2]Main!$S$2:$S$5000,
"Không tìm thấy"
)
)</f>
        <v>VN</v>
      </c>
      <c r="N105" s="13" t="str" cm="1">
        <f t="array" ref="N105">IFERROR(
_xlfn.XLOOKUP(
1,
(TRIM(CLEAN(SUBSTITUTE([1]Main!$F$2:$F$5000,CHAR(160)," ")))=
TRIM(CLEAN(SUBSTITUTE($B105,CHAR(160)," "))))
*
(--TEXT([1]Main!$N$2:$N$5000,"dd/mm/yyyy")=
--TEXT($C105,"dd/mm/yyyy")),
[1]Main!$AL$2:$AL$5000
),
_xlfn.XLOOKUP(
1,
(TRIM(CLEAN(SUBSTITUTE([2]Main!$F$2:$F$5000,CHAR(160)," ")))=
TRIM(CLEAN(SUBSTITUTE($B105,CHAR(160)," "))))
*
(--TEXT([2]Main!$N$2:$N$5000,"dd/mm/yyyy")=
--TEXT($C105,"dd/mm/yyyy")),
[2]Main!$AL$2:$AL$5000,
"Không tìm thấy"
)
)</f>
        <v>Thành phố Hà Nội</v>
      </c>
      <c r="O105" s="10"/>
      <c r="P105" s="10"/>
      <c r="Q105" s="10"/>
      <c r="R105" s="10"/>
      <c r="S105" s="10"/>
      <c r="T105" s="3" t="s">
        <v>653</v>
      </c>
      <c r="U105" s="3"/>
      <c r="V105" s="3"/>
      <c r="W105" s="3" t="str">
        <f>IF(
    COUNTIFS(
        [1]Main!$F:$F,$B105,
        [1]Main!$N:$N,$C105
    )&gt;0,
    "Active",
    IF(
        COUNTIFS(
            [2]Main!$F:$F,$B105,
            [2]Main!$N:$N,$C105
        )&gt;0,
        "Inactive",
        "Không tìm thấy"
    )
)</f>
        <v>Inactive</v>
      </c>
      <c r="X105" s="15" cm="1">
        <f t="array" ref="X105">IFERROR(
_xlfn.XLOOKUP(
1,
(TRIM(CLEAN(SUBSTITUTE([2]Main!$F$2:$F$5000,CHAR(160)," ")))=
TRIM(CLEAN(SUBSTITUTE($B105,CHAR(160)," "))))
*
(--TEXT([2]Main!$N$2:$N$5000,"dd/mm/yyyy")=
--TEXT($C105,"dd/mm/yyyy")),
[2]Main!$AA$2:$AA$5000,
""
),
"")</f>
        <v>46218</v>
      </c>
      <c r="Y105" s="3"/>
      <c r="Z105" s="3"/>
      <c r="AA105" s="3"/>
      <c r="AB105" s="3"/>
    </row>
    <row r="106" spans="1:28" ht="38.25" customHeight="1" x14ac:dyDescent="0.25">
      <c r="A106" s="1">
        <v>105</v>
      </c>
      <c r="B106" s="2" t="s">
        <v>555</v>
      </c>
      <c r="C106" s="2" t="s">
        <v>556</v>
      </c>
      <c r="D106" s="2" t="s">
        <v>557</v>
      </c>
      <c r="E106" s="2" t="s">
        <v>558</v>
      </c>
      <c r="F106" s="2" t="s">
        <v>315</v>
      </c>
      <c r="G106" s="2" t="s">
        <v>549</v>
      </c>
      <c r="H106" s="1" t="s">
        <v>554</v>
      </c>
      <c r="I106" s="1" t="s">
        <v>38</v>
      </c>
      <c r="J106" s="2" t="s">
        <v>30</v>
      </c>
      <c r="K106" s="13" t="str" cm="1">
        <f t="array" ref="K106">IFERROR(
_xlfn.XLOOKUP(
1,
(TRIM(CLEAN(SUBSTITUTE([1]Main!$F$2:$F$5000,CHAR(160)," ")))=
TRIM(CLEAN(SUBSTITUTE($B106,CHAR(160)," "))))
*
(--TEXT([1]Main!$N$2:$N$5000,"dd/mm/yyyy")=
--TEXT($C106,"dd/mm/yyyy")),
[1]Main!$C$2:$C$5000
),
_xlfn.XLOOKUP(
1,
(TRIM(CLEAN(SUBSTITUTE([2]Main!$F$2:$F$5000,CHAR(160)," ")))=
TRIM(CLEAN(SUBSTITUTE($B106,CHAR(160)," "))))
*
(--TEXT([2]Main!$N$2:$N$5000,"dd/mm/yyyy")=
--TEXT($C106,"dd/mm/yyyy")),
[2]Main!$C$2:$C$5000,
"Không tìm thấy"
)
)</f>
        <v>001204014117</v>
      </c>
      <c r="L106" s="13" t="str" cm="1">
        <f t="array" ref="L106">IFERROR(
_xlfn.XLOOKUP(
1,
(TRIM(CLEAN(SUBSTITUTE([1]Main!$F$2:$F$5000,CHAR(160)," ")))=
TRIM(CLEAN(SUBSTITUTE($B106,CHAR(160)," "))))
*
(--TEXT([1]Main!$N$2:$N$5000,"dd/mm/yyyy")=
--TEXT($C106,"dd/mm/yyyy")),
[1]Main!$Q$2:$Q$5000
),
_xlfn.XLOOKUP(
1,
(TRIM(CLEAN(SUBSTITUTE([2]Main!$F$2:$F$5000,CHAR(160)," ")))=
TRIM(CLEAN(SUBSTITUTE($B106,CHAR(160)," "))))
*
(--TEXT([2]Main!$N$2:$N$5000,"dd/mm/yyyy")=
--TEXT($C106,"dd/mm/yyyy")),
[2]Main!$Q$2:$Q$5000,
"Không tìm thấy"
)
)</f>
        <v>Nam</v>
      </c>
      <c r="M106" s="13" t="str" cm="1">
        <f t="array" ref="M106">IFERROR(
_xlfn.XLOOKUP(
1,
(TRIM(CLEAN(SUBSTITUTE([1]Main!$F$2:$F$5000,CHAR(160)," ")))=
TRIM(CLEAN(SUBSTITUTE($B106,CHAR(160)," "))))
*
(--TEXT([1]Main!$N$2:$N$5000,"dd/mm/yyyy")=
--TEXT($C106,"dd/mm/yyyy")),
[1]Main!$S$2:$S$5000
),
_xlfn.XLOOKUP(
1,
(TRIM(CLEAN(SUBSTITUTE([2]Main!$F$2:$F$5000,CHAR(160)," ")))=
TRIM(CLEAN(SUBSTITUTE($B106,CHAR(160)," "))))
*
(--TEXT([2]Main!$N$2:$N$5000,"dd/mm/yyyy")=
--TEXT($C106,"dd/mm/yyyy")),
[2]Main!$S$2:$S$5000,
"Không tìm thấy"
)
)</f>
        <v>VN</v>
      </c>
      <c r="N106" s="13" t="str" cm="1">
        <f t="array" ref="N106">IFERROR(
_xlfn.XLOOKUP(
1,
(TRIM(CLEAN(SUBSTITUTE([1]Main!$F$2:$F$5000,CHAR(160)," ")))=
TRIM(CLEAN(SUBSTITUTE($B106,CHAR(160)," "))))
*
(--TEXT([1]Main!$N$2:$N$5000,"dd/mm/yyyy")=
--TEXT($C106,"dd/mm/yyyy")),
[1]Main!$AL$2:$AL$5000
),
_xlfn.XLOOKUP(
1,
(TRIM(CLEAN(SUBSTITUTE([2]Main!$F$2:$F$5000,CHAR(160)," ")))=
TRIM(CLEAN(SUBSTITUTE($B106,CHAR(160)," "))))
*
(--TEXT([2]Main!$N$2:$N$5000,"dd/mm/yyyy")=
--TEXT($C106,"dd/mm/yyyy")),
[2]Main!$AL$2:$AL$5000,
"Không tìm thấy"
)
)</f>
        <v>Thành phố Hà Nội</v>
      </c>
      <c r="O106" s="10"/>
      <c r="P106" s="10"/>
      <c r="Q106" s="10"/>
      <c r="R106" s="10"/>
      <c r="S106" s="10"/>
      <c r="T106" s="3" t="s">
        <v>653</v>
      </c>
      <c r="U106" s="3"/>
      <c r="V106" s="3"/>
      <c r="W106" s="3" t="str">
        <f>IF(
    COUNTIFS(
        [1]Main!$F:$F,$B106,
        [1]Main!$N:$N,$C106
    )&gt;0,
    "Active",
    IF(
        COUNTIFS(
            [2]Main!$F:$F,$B106,
            [2]Main!$N:$N,$C106
        )&gt;0,
        "Inactive",
        "Không tìm thấy"
    )
)</f>
        <v>Active</v>
      </c>
      <c r="X106" s="15" t="str" cm="1">
        <f t="array" ref="X106">IFERROR(
_xlfn.XLOOKUP(
1,
(TRIM(CLEAN(SUBSTITUTE([2]Main!$F$2:$F$5000,CHAR(160)," ")))=
TRIM(CLEAN(SUBSTITUTE($B106,CHAR(160)," "))))
*
(--TEXT([2]Main!$N$2:$N$5000,"dd/mm/yyyy")=
--TEXT($C106,"dd/mm/yyyy")),
[2]Main!$AA$2:$AA$5000,
""
),
"")</f>
        <v/>
      </c>
      <c r="Y106" s="3"/>
      <c r="Z106" s="3"/>
      <c r="AA106" s="3"/>
      <c r="AB106" s="3"/>
    </row>
    <row r="107" spans="1:28" ht="25.5" customHeight="1" x14ac:dyDescent="0.25">
      <c r="A107" s="1">
        <v>106</v>
      </c>
      <c r="B107" s="2" t="s">
        <v>559</v>
      </c>
      <c r="C107" s="2" t="s">
        <v>560</v>
      </c>
      <c r="D107" s="2" t="s">
        <v>561</v>
      </c>
      <c r="E107" s="2" t="s">
        <v>251</v>
      </c>
      <c r="F107" s="2" t="s">
        <v>252</v>
      </c>
      <c r="G107" s="2" t="s">
        <v>258</v>
      </c>
      <c r="H107" s="1" t="s">
        <v>562</v>
      </c>
      <c r="I107" s="1" t="s">
        <v>14</v>
      </c>
      <c r="J107" s="2" t="s">
        <v>15</v>
      </c>
      <c r="K107" s="13" t="str" cm="1">
        <f t="array" ref="K107">IFERROR(
_xlfn.XLOOKUP(
1,
(TRIM(CLEAN(SUBSTITUTE([1]Main!$F$2:$F$5000,CHAR(160)," ")))=
TRIM(CLEAN(SUBSTITUTE($B107,CHAR(160)," "))))
*
(--TEXT([1]Main!$N$2:$N$5000,"dd/mm/yyyy")=
--TEXT($C107,"dd/mm/yyyy")),
[1]Main!$C$2:$C$5000
),
_xlfn.XLOOKUP(
1,
(TRIM(CLEAN(SUBSTITUTE([2]Main!$F$2:$F$5000,CHAR(160)," ")))=
TRIM(CLEAN(SUBSTITUTE($B107,CHAR(160)," "))))
*
(--TEXT([2]Main!$N$2:$N$5000,"dd/mm/yyyy")=
--TEXT($C107,"dd/mm/yyyy")),
[2]Main!$C$2:$C$5000,
"Không tìm thấy"
)
)</f>
        <v>001197031330</v>
      </c>
      <c r="L107" s="13" t="str" cm="1">
        <f t="array" ref="L107">IFERROR(
_xlfn.XLOOKUP(
1,
(TRIM(CLEAN(SUBSTITUTE([1]Main!$F$2:$F$5000,CHAR(160)," ")))=
TRIM(CLEAN(SUBSTITUTE($B107,CHAR(160)," "))))
*
(--TEXT([1]Main!$N$2:$N$5000,"dd/mm/yyyy")=
--TEXT($C107,"dd/mm/yyyy")),
[1]Main!$Q$2:$Q$5000
),
_xlfn.XLOOKUP(
1,
(TRIM(CLEAN(SUBSTITUTE([2]Main!$F$2:$F$5000,CHAR(160)," ")))=
TRIM(CLEAN(SUBSTITUTE($B107,CHAR(160)," "))))
*
(--TEXT([2]Main!$N$2:$N$5000,"dd/mm/yyyy")=
--TEXT($C107,"dd/mm/yyyy")),
[2]Main!$Q$2:$Q$5000,
"Không tìm thấy"
)
)</f>
        <v>Nữ</v>
      </c>
      <c r="M107" s="13" t="str" cm="1">
        <f t="array" ref="M107">IFERROR(
_xlfn.XLOOKUP(
1,
(TRIM(CLEAN(SUBSTITUTE([1]Main!$F$2:$F$5000,CHAR(160)," ")))=
TRIM(CLEAN(SUBSTITUTE($B107,CHAR(160)," "))))
*
(--TEXT([1]Main!$N$2:$N$5000,"dd/mm/yyyy")=
--TEXT($C107,"dd/mm/yyyy")),
[1]Main!$S$2:$S$5000
),
_xlfn.XLOOKUP(
1,
(TRIM(CLEAN(SUBSTITUTE([2]Main!$F$2:$F$5000,CHAR(160)," ")))=
TRIM(CLEAN(SUBSTITUTE($B107,CHAR(160)," "))))
*
(--TEXT([2]Main!$N$2:$N$5000,"dd/mm/yyyy")=
--TEXT($C107,"dd/mm/yyyy")),
[2]Main!$S$2:$S$5000,
"Không tìm thấy"
)
)</f>
        <v>VN</v>
      </c>
      <c r="N107" s="13" t="str" cm="1">
        <f t="array" ref="N107">IFERROR(
_xlfn.XLOOKUP(
1,
(TRIM(CLEAN(SUBSTITUTE([1]Main!$F$2:$F$5000,CHAR(160)," ")))=
TRIM(CLEAN(SUBSTITUTE($B107,CHAR(160)," "))))
*
(--TEXT([1]Main!$N$2:$N$5000,"dd/mm/yyyy")=
--TEXT($C107,"dd/mm/yyyy")),
[1]Main!$AL$2:$AL$5000
),
_xlfn.XLOOKUP(
1,
(TRIM(CLEAN(SUBSTITUTE([2]Main!$F$2:$F$5000,CHAR(160)," ")))=
TRIM(CLEAN(SUBSTITUTE($B107,CHAR(160)," "))))
*
(--TEXT([2]Main!$N$2:$N$5000,"dd/mm/yyyy")=
--TEXT($C107,"dd/mm/yyyy")),
[2]Main!$AL$2:$AL$5000,
"Không tìm thấy"
)
)</f>
        <v>Thành phố Hà Nội</v>
      </c>
      <c r="O107" s="10"/>
      <c r="P107" s="10"/>
      <c r="Q107" s="10"/>
      <c r="R107" s="10"/>
      <c r="S107" s="10"/>
      <c r="T107" s="3" t="s">
        <v>653</v>
      </c>
      <c r="U107" s="3"/>
      <c r="V107" s="3"/>
      <c r="W107" s="3" t="str">
        <f>IF(
    COUNTIFS(
        [1]Main!$F:$F,$B107,
        [1]Main!$N:$N,$C107
    )&gt;0,
    "Active",
    IF(
        COUNTIFS(
            [2]Main!$F:$F,$B107,
            [2]Main!$N:$N,$C107
        )&gt;0,
        "Inactive",
        "Không tìm thấy"
    )
)</f>
        <v>Active</v>
      </c>
      <c r="X107" s="15" t="str" cm="1">
        <f t="array" ref="X107">IFERROR(
_xlfn.XLOOKUP(
1,
(TRIM(CLEAN(SUBSTITUTE([2]Main!$F$2:$F$5000,CHAR(160)," ")))=
TRIM(CLEAN(SUBSTITUTE($B107,CHAR(160)," "))))
*
(--TEXT([2]Main!$N$2:$N$5000,"dd/mm/yyyy")=
--TEXT($C107,"dd/mm/yyyy")),
[2]Main!$AA$2:$AA$5000,
""
),
"")</f>
        <v/>
      </c>
      <c r="Y107" s="3"/>
      <c r="Z107" s="3"/>
      <c r="AA107" s="3"/>
      <c r="AB107" s="3"/>
    </row>
    <row r="108" spans="1:28" ht="38.25" customHeight="1" x14ac:dyDescent="0.25">
      <c r="A108" s="1">
        <v>107</v>
      </c>
      <c r="B108" s="2" t="s">
        <v>563</v>
      </c>
      <c r="C108" s="2" t="s">
        <v>564</v>
      </c>
      <c r="D108" s="2" t="s">
        <v>565</v>
      </c>
      <c r="E108" s="2" t="s">
        <v>257</v>
      </c>
      <c r="F108" s="2" t="s">
        <v>252</v>
      </c>
      <c r="G108" s="2" t="s">
        <v>258</v>
      </c>
      <c r="H108" s="1" t="s">
        <v>562</v>
      </c>
      <c r="I108" s="1" t="s">
        <v>14</v>
      </c>
      <c r="J108" s="2" t="s">
        <v>15</v>
      </c>
      <c r="K108" s="13" t="str" cm="1">
        <f t="array" ref="K108">IFERROR(
_xlfn.XLOOKUP(
1,
(TRIM(CLEAN(SUBSTITUTE([1]Main!$F$2:$F$5000,CHAR(160)," ")))=
TRIM(CLEAN(SUBSTITUTE($B108,CHAR(160)," "))))
*
(--TEXT([1]Main!$N$2:$N$5000,"dd/mm/yyyy")=
--TEXT($C108,"dd/mm/yyyy")),
[1]Main!$C$2:$C$5000
),
_xlfn.XLOOKUP(
1,
(TRIM(CLEAN(SUBSTITUTE([2]Main!$F$2:$F$5000,CHAR(160)," ")))=
TRIM(CLEAN(SUBSTITUTE($B108,CHAR(160)," "))))
*
(--TEXT([2]Main!$N$2:$N$5000,"dd/mm/yyyy")=
--TEXT($C108,"dd/mm/yyyy")),
[2]Main!$C$2:$C$5000,
"Không tìm thấy"
)
)</f>
        <v>024303004102</v>
      </c>
      <c r="L108" s="13" t="str" cm="1">
        <f t="array" ref="L108">IFERROR(
_xlfn.XLOOKUP(
1,
(TRIM(CLEAN(SUBSTITUTE([1]Main!$F$2:$F$5000,CHAR(160)," ")))=
TRIM(CLEAN(SUBSTITUTE($B108,CHAR(160)," "))))
*
(--TEXT([1]Main!$N$2:$N$5000,"dd/mm/yyyy")=
--TEXT($C108,"dd/mm/yyyy")),
[1]Main!$Q$2:$Q$5000
),
_xlfn.XLOOKUP(
1,
(TRIM(CLEAN(SUBSTITUTE([2]Main!$F$2:$F$5000,CHAR(160)," ")))=
TRIM(CLEAN(SUBSTITUTE($B108,CHAR(160)," "))))
*
(--TEXT([2]Main!$N$2:$N$5000,"dd/mm/yyyy")=
--TEXT($C108,"dd/mm/yyyy")),
[2]Main!$Q$2:$Q$5000,
"Không tìm thấy"
)
)</f>
        <v>Nữ</v>
      </c>
      <c r="M108" s="13" t="str" cm="1">
        <f t="array" ref="M108">IFERROR(
_xlfn.XLOOKUP(
1,
(TRIM(CLEAN(SUBSTITUTE([1]Main!$F$2:$F$5000,CHAR(160)," ")))=
TRIM(CLEAN(SUBSTITUTE($B108,CHAR(160)," "))))
*
(--TEXT([1]Main!$N$2:$N$5000,"dd/mm/yyyy")=
--TEXT($C108,"dd/mm/yyyy")),
[1]Main!$S$2:$S$5000
),
_xlfn.XLOOKUP(
1,
(TRIM(CLEAN(SUBSTITUTE([2]Main!$F$2:$F$5000,CHAR(160)," ")))=
TRIM(CLEAN(SUBSTITUTE($B108,CHAR(160)," "))))
*
(--TEXT([2]Main!$N$2:$N$5000,"dd/mm/yyyy")=
--TEXT($C108,"dd/mm/yyyy")),
[2]Main!$S$2:$S$5000,
"Không tìm thấy"
)
)</f>
        <v>VN</v>
      </c>
      <c r="N108" s="13" t="str" cm="1">
        <f t="array" ref="N108">IFERROR(
_xlfn.XLOOKUP(
1,
(TRIM(CLEAN(SUBSTITUTE([1]Main!$F$2:$F$5000,CHAR(160)," ")))=
TRIM(CLEAN(SUBSTITUTE($B108,CHAR(160)," "))))
*
(--TEXT([1]Main!$N$2:$N$5000,"dd/mm/yyyy")=
--TEXT($C108,"dd/mm/yyyy")),
[1]Main!$AL$2:$AL$5000
),
_xlfn.XLOOKUP(
1,
(TRIM(CLEAN(SUBSTITUTE([2]Main!$F$2:$F$5000,CHAR(160)," ")))=
TRIM(CLEAN(SUBSTITUTE($B108,CHAR(160)," "))))
*
(--TEXT([2]Main!$N$2:$N$5000,"dd/mm/yyyy")=
--TEXT($C108,"dd/mm/yyyy")),
[2]Main!$AL$2:$AL$5000,
"Không tìm thấy"
)
)</f>
        <v>Thành phố Hà Nội</v>
      </c>
      <c r="O108" s="10"/>
      <c r="P108" s="10"/>
      <c r="Q108" s="10"/>
      <c r="R108" s="10"/>
      <c r="S108" s="10"/>
      <c r="T108" s="3" t="s">
        <v>653</v>
      </c>
      <c r="U108" s="3"/>
      <c r="V108" s="3"/>
      <c r="W108" s="3" t="str">
        <f>IF(
    COUNTIFS(
        [1]Main!$F:$F,$B108,
        [1]Main!$N:$N,$C108
    )&gt;0,
    "Active",
    IF(
        COUNTIFS(
            [2]Main!$F:$F,$B108,
            [2]Main!$N:$N,$C108
        )&gt;0,
        "Inactive",
        "Không tìm thấy"
    )
)</f>
        <v>Active</v>
      </c>
      <c r="X108" s="15" t="str" cm="1">
        <f t="array" ref="X108">IFERROR(
_xlfn.XLOOKUP(
1,
(TRIM(CLEAN(SUBSTITUTE([2]Main!$F$2:$F$5000,CHAR(160)," ")))=
TRIM(CLEAN(SUBSTITUTE($B108,CHAR(160)," "))))
*
(--TEXT([2]Main!$N$2:$N$5000,"dd/mm/yyyy")=
--TEXT($C108,"dd/mm/yyyy")),
[2]Main!$AA$2:$AA$5000,
""
),
"")</f>
        <v/>
      </c>
      <c r="Y108" s="3"/>
      <c r="Z108" s="3"/>
      <c r="AA108" s="3"/>
      <c r="AB108" s="3"/>
    </row>
    <row r="109" spans="1:28" ht="38.25" customHeight="1" x14ac:dyDescent="0.25">
      <c r="A109" s="1">
        <v>108</v>
      </c>
      <c r="B109" s="2" t="s">
        <v>566</v>
      </c>
      <c r="C109" s="2" t="s">
        <v>567</v>
      </c>
      <c r="D109" s="2" t="s">
        <v>568</v>
      </c>
      <c r="E109" s="2" t="s">
        <v>19</v>
      </c>
      <c r="F109" s="2" t="s">
        <v>61</v>
      </c>
      <c r="G109" s="2" t="s">
        <v>475</v>
      </c>
      <c r="H109" s="1" t="s">
        <v>569</v>
      </c>
      <c r="I109" s="1" t="s">
        <v>14</v>
      </c>
      <c r="J109" s="2" t="s">
        <v>15</v>
      </c>
      <c r="K109" s="13" t="str" cm="1">
        <f t="array" ref="K109">IFERROR(
_xlfn.XLOOKUP(
1,
(TRIM(CLEAN(SUBSTITUTE([1]Main!$F$2:$F$5000,CHAR(160)," ")))=
TRIM(CLEAN(SUBSTITUTE($B109,CHAR(160)," "))))
*
(--TEXT([1]Main!$N$2:$N$5000,"dd/mm/yyyy")=
--TEXT($C109,"dd/mm/yyyy")),
[1]Main!$C$2:$C$5000
),
_xlfn.XLOOKUP(
1,
(TRIM(CLEAN(SUBSTITUTE([2]Main!$F$2:$F$5000,CHAR(160)," ")))=
TRIM(CLEAN(SUBSTITUTE($B109,CHAR(160)," "))))
*
(--TEXT([2]Main!$N$2:$N$5000,"dd/mm/yyyy")=
--TEXT($C109,"dd/mm/yyyy")),
[2]Main!$C$2:$C$5000,
"Không tìm thấy"
)
)</f>
        <v>037199000268</v>
      </c>
      <c r="L109" s="13" t="str" cm="1">
        <f t="array" ref="L109">IFERROR(
_xlfn.XLOOKUP(
1,
(TRIM(CLEAN(SUBSTITUTE([1]Main!$F$2:$F$5000,CHAR(160)," ")))=
TRIM(CLEAN(SUBSTITUTE($B109,CHAR(160)," "))))
*
(--TEXT([1]Main!$N$2:$N$5000,"dd/mm/yyyy")=
--TEXT($C109,"dd/mm/yyyy")),
[1]Main!$Q$2:$Q$5000
),
_xlfn.XLOOKUP(
1,
(TRIM(CLEAN(SUBSTITUTE([2]Main!$F$2:$F$5000,CHAR(160)," ")))=
TRIM(CLEAN(SUBSTITUTE($B109,CHAR(160)," "))))
*
(--TEXT([2]Main!$N$2:$N$5000,"dd/mm/yyyy")=
--TEXT($C109,"dd/mm/yyyy")),
[2]Main!$Q$2:$Q$5000,
"Không tìm thấy"
)
)</f>
        <v>Nữ</v>
      </c>
      <c r="M109" s="13" t="str" cm="1">
        <f t="array" ref="M109">IFERROR(
_xlfn.XLOOKUP(
1,
(TRIM(CLEAN(SUBSTITUTE([1]Main!$F$2:$F$5000,CHAR(160)," ")))=
TRIM(CLEAN(SUBSTITUTE($B109,CHAR(160)," "))))
*
(--TEXT([1]Main!$N$2:$N$5000,"dd/mm/yyyy")=
--TEXT($C109,"dd/mm/yyyy")),
[1]Main!$S$2:$S$5000
),
_xlfn.XLOOKUP(
1,
(TRIM(CLEAN(SUBSTITUTE([2]Main!$F$2:$F$5000,CHAR(160)," ")))=
TRIM(CLEAN(SUBSTITUTE($B109,CHAR(160)," "))))
*
(--TEXT([2]Main!$N$2:$N$5000,"dd/mm/yyyy")=
--TEXT($C109,"dd/mm/yyyy")),
[2]Main!$S$2:$S$5000,
"Không tìm thấy"
)
)</f>
        <v>VN</v>
      </c>
      <c r="N109" s="13" t="str" cm="1">
        <f t="array" ref="N109">IFERROR(
_xlfn.XLOOKUP(
1,
(TRIM(CLEAN(SUBSTITUTE([1]Main!$F$2:$F$5000,CHAR(160)," ")))=
TRIM(CLEAN(SUBSTITUTE($B109,CHAR(160)," "))))
*
(--TEXT([1]Main!$N$2:$N$5000,"dd/mm/yyyy")=
--TEXT($C109,"dd/mm/yyyy")),
[1]Main!$AL$2:$AL$5000
),
_xlfn.XLOOKUP(
1,
(TRIM(CLEAN(SUBSTITUTE([2]Main!$F$2:$F$5000,CHAR(160)," ")))=
TRIM(CLEAN(SUBSTITUTE($B109,CHAR(160)," "))))
*
(--TEXT([2]Main!$N$2:$N$5000,"dd/mm/yyyy")=
--TEXT($C109,"dd/mm/yyyy")),
[2]Main!$AL$2:$AL$5000,
"Không tìm thấy"
)
)</f>
        <v>Thành phố Hà Nội</v>
      </c>
      <c r="O109" s="10"/>
      <c r="P109" s="10"/>
      <c r="Q109" s="10"/>
      <c r="R109" s="10"/>
      <c r="S109" s="10"/>
      <c r="T109" s="3" t="s">
        <v>653</v>
      </c>
      <c r="U109" s="3"/>
      <c r="V109" s="3"/>
      <c r="W109" s="3" t="str">
        <f>IF(
    COUNTIFS(
        [1]Main!$F:$F,$B109,
        [1]Main!$N:$N,$C109
    )&gt;0,
    "Active",
    IF(
        COUNTIFS(
            [2]Main!$F:$F,$B109,
            [2]Main!$N:$N,$C109
        )&gt;0,
        "Inactive",
        "Không tìm thấy"
    )
)</f>
        <v>Active</v>
      </c>
      <c r="X109" s="15" t="str" cm="1">
        <f t="array" ref="X109">IFERROR(
_xlfn.XLOOKUP(
1,
(TRIM(CLEAN(SUBSTITUTE([2]Main!$F$2:$F$5000,CHAR(160)," ")))=
TRIM(CLEAN(SUBSTITUTE($B109,CHAR(160)," "))))
*
(--TEXT([2]Main!$N$2:$N$5000,"dd/mm/yyyy")=
--TEXT($C109,"dd/mm/yyyy")),
[2]Main!$AA$2:$AA$5000,
""
),
"")</f>
        <v/>
      </c>
      <c r="Y109" s="3"/>
      <c r="Z109" s="3"/>
      <c r="AA109" s="3"/>
      <c r="AB109" s="3"/>
    </row>
    <row r="110" spans="1:28" ht="38.25" customHeight="1" x14ac:dyDescent="0.25">
      <c r="A110" s="1">
        <v>109</v>
      </c>
      <c r="B110" s="2" t="s">
        <v>570</v>
      </c>
      <c r="C110" s="2" t="s">
        <v>571</v>
      </c>
      <c r="D110" s="2" t="s">
        <v>572</v>
      </c>
      <c r="E110" s="2" t="s">
        <v>573</v>
      </c>
      <c r="F110" s="2" t="s">
        <v>427</v>
      </c>
      <c r="G110" s="2" t="s">
        <v>398</v>
      </c>
      <c r="H110" s="1" t="s">
        <v>569</v>
      </c>
      <c r="I110" s="1" t="s">
        <v>14</v>
      </c>
      <c r="J110" s="2" t="s">
        <v>126</v>
      </c>
      <c r="K110" s="13" t="str" cm="1">
        <f t="array" ref="K110">IFERROR(
_xlfn.XLOOKUP(
1,
(TRIM(CLEAN(SUBSTITUTE([1]Main!$F$2:$F$5000,CHAR(160)," ")))=
TRIM(CLEAN(SUBSTITUTE($B110,CHAR(160)," "))))
*
(--TEXT([1]Main!$N$2:$N$5000,"dd/mm/yyyy")=
--TEXT($C110,"dd/mm/yyyy")),
[1]Main!$C$2:$C$5000
),
_xlfn.XLOOKUP(
1,
(TRIM(CLEAN(SUBSTITUTE([2]Main!$F$2:$F$5000,CHAR(160)," ")))=
TRIM(CLEAN(SUBSTITUTE($B110,CHAR(160)," "))))
*
(--TEXT([2]Main!$N$2:$N$5000,"dd/mm/yyyy")=
--TEXT($C110,"dd/mm/yyyy")),
[2]Main!$C$2:$C$5000,
"Không tìm thấy"
)
)</f>
        <v>038199009516</v>
      </c>
      <c r="L110" s="13" t="str" cm="1">
        <f t="array" ref="L110">IFERROR(
_xlfn.XLOOKUP(
1,
(TRIM(CLEAN(SUBSTITUTE([1]Main!$F$2:$F$5000,CHAR(160)," ")))=
TRIM(CLEAN(SUBSTITUTE($B110,CHAR(160)," "))))
*
(--TEXT([1]Main!$N$2:$N$5000,"dd/mm/yyyy")=
--TEXT($C110,"dd/mm/yyyy")),
[1]Main!$Q$2:$Q$5000
),
_xlfn.XLOOKUP(
1,
(TRIM(CLEAN(SUBSTITUTE([2]Main!$F$2:$F$5000,CHAR(160)," ")))=
TRIM(CLEAN(SUBSTITUTE($B110,CHAR(160)," "))))
*
(--TEXT([2]Main!$N$2:$N$5000,"dd/mm/yyyy")=
--TEXT($C110,"dd/mm/yyyy")),
[2]Main!$Q$2:$Q$5000,
"Không tìm thấy"
)
)</f>
        <v>Nữ</v>
      </c>
      <c r="M110" s="13" t="str" cm="1">
        <f t="array" ref="M110">IFERROR(
_xlfn.XLOOKUP(
1,
(TRIM(CLEAN(SUBSTITUTE([1]Main!$F$2:$F$5000,CHAR(160)," ")))=
TRIM(CLEAN(SUBSTITUTE($B110,CHAR(160)," "))))
*
(--TEXT([1]Main!$N$2:$N$5000,"dd/mm/yyyy")=
--TEXT($C110,"dd/mm/yyyy")),
[1]Main!$S$2:$S$5000
),
_xlfn.XLOOKUP(
1,
(TRIM(CLEAN(SUBSTITUTE([2]Main!$F$2:$F$5000,CHAR(160)," ")))=
TRIM(CLEAN(SUBSTITUTE($B110,CHAR(160)," "))))
*
(--TEXT([2]Main!$N$2:$N$5000,"dd/mm/yyyy")=
--TEXT($C110,"dd/mm/yyyy")),
[2]Main!$S$2:$S$5000,
"Không tìm thấy"
)
)</f>
        <v>VN</v>
      </c>
      <c r="N110" s="13" t="str" cm="1">
        <f t="array" ref="N110">IFERROR(
_xlfn.XLOOKUP(
1,
(TRIM(CLEAN(SUBSTITUTE([1]Main!$F$2:$F$5000,CHAR(160)," ")))=
TRIM(CLEAN(SUBSTITUTE($B110,CHAR(160)," "))))
*
(--TEXT([1]Main!$N$2:$N$5000,"dd/mm/yyyy")=
--TEXT($C110,"dd/mm/yyyy")),
[1]Main!$AL$2:$AL$5000
),
_xlfn.XLOOKUP(
1,
(TRIM(CLEAN(SUBSTITUTE([2]Main!$F$2:$F$5000,CHAR(160)," ")))=
TRIM(CLEAN(SUBSTITUTE($B110,CHAR(160)," "))))
*
(--TEXT([2]Main!$N$2:$N$5000,"dd/mm/yyyy")=
--TEXT($C110,"dd/mm/yyyy")),
[2]Main!$AL$2:$AL$5000,
"Không tìm thấy"
)
)</f>
        <v>Thành phố Hà Nội</v>
      </c>
      <c r="O110" s="10"/>
      <c r="P110" s="10"/>
      <c r="Q110" s="10"/>
      <c r="R110" s="10"/>
      <c r="S110" s="10"/>
      <c r="T110" s="3" t="s">
        <v>653</v>
      </c>
      <c r="U110" s="3"/>
      <c r="V110" s="3"/>
      <c r="W110" s="3" t="str">
        <f>IF(
    COUNTIFS(
        [1]Main!$F:$F,$B110,
        [1]Main!$N:$N,$C110
    )&gt;0,
    "Active",
    IF(
        COUNTIFS(
            [2]Main!$F:$F,$B110,
            [2]Main!$N:$N,$C110
        )&gt;0,
        "Inactive",
        "Không tìm thấy"
    )
)</f>
        <v>Active</v>
      </c>
      <c r="X110" s="15" t="str" cm="1">
        <f t="array" ref="X110">IFERROR(
_xlfn.XLOOKUP(
1,
(TRIM(CLEAN(SUBSTITUTE([2]Main!$F$2:$F$5000,CHAR(160)," ")))=
TRIM(CLEAN(SUBSTITUTE($B110,CHAR(160)," "))))
*
(--TEXT([2]Main!$N$2:$N$5000,"dd/mm/yyyy")=
--TEXT($C110,"dd/mm/yyyy")),
[2]Main!$AA$2:$AA$5000,
""
),
"")</f>
        <v/>
      </c>
      <c r="Y110" s="3"/>
      <c r="Z110" s="3"/>
      <c r="AA110" s="3"/>
      <c r="AB110" s="3"/>
    </row>
    <row r="111" spans="1:28" ht="38.25" customHeight="1" x14ac:dyDescent="0.25">
      <c r="A111" s="1">
        <v>110</v>
      </c>
      <c r="B111" s="2" t="s">
        <v>574</v>
      </c>
      <c r="C111" s="2" t="s">
        <v>575</v>
      </c>
      <c r="D111" s="2" t="s">
        <v>576</v>
      </c>
      <c r="E111" s="2" t="s">
        <v>577</v>
      </c>
      <c r="F111" s="2" t="s">
        <v>469</v>
      </c>
      <c r="G111" s="2" t="s">
        <v>470</v>
      </c>
      <c r="H111" s="1" t="s">
        <v>569</v>
      </c>
      <c r="I111" s="1" t="s">
        <v>14</v>
      </c>
      <c r="J111" s="2" t="s">
        <v>15</v>
      </c>
      <c r="K111" s="13" t="str" cm="1">
        <f t="array" ref="K111">IFERROR(
_xlfn.XLOOKUP(
1,
(TRIM(CLEAN(SUBSTITUTE([1]Main!$F$2:$F$5000,CHAR(160)," ")))=
TRIM(CLEAN(SUBSTITUTE($B111,CHAR(160)," "))))
*
(--TEXT([1]Main!$N$2:$N$5000,"dd/mm/yyyy")=
--TEXT($C111,"dd/mm/yyyy")),
[1]Main!$C$2:$C$5000
),
_xlfn.XLOOKUP(
1,
(TRIM(CLEAN(SUBSTITUTE([2]Main!$F$2:$F$5000,CHAR(160)," ")))=
TRIM(CLEAN(SUBSTITUTE($B111,CHAR(160)," "))))
*
(--TEXT([2]Main!$N$2:$N$5000,"dd/mm/yyyy")=
--TEXT($C111,"dd/mm/yyyy")),
[2]Main!$C$2:$C$5000,
"Không tìm thấy"
)
)</f>
        <v>Không tìm thấy</v>
      </c>
      <c r="L111" s="13" t="str" cm="1">
        <f t="array" ref="L111">IFERROR(
_xlfn.XLOOKUP(
1,
(TRIM(CLEAN(SUBSTITUTE([1]Main!$F$2:$F$5000,CHAR(160)," ")))=
TRIM(CLEAN(SUBSTITUTE($B111,CHAR(160)," "))))
*
(--TEXT([1]Main!$N$2:$N$5000,"dd/mm/yyyy")=
--TEXT($C111,"dd/mm/yyyy")),
[1]Main!$Q$2:$Q$5000
),
_xlfn.XLOOKUP(
1,
(TRIM(CLEAN(SUBSTITUTE([2]Main!$F$2:$F$5000,CHAR(160)," ")))=
TRIM(CLEAN(SUBSTITUTE($B111,CHAR(160)," "))))
*
(--TEXT([2]Main!$N$2:$N$5000,"dd/mm/yyyy")=
--TEXT($C111,"dd/mm/yyyy")),
[2]Main!$Q$2:$Q$5000,
"Không tìm thấy"
)
)</f>
        <v>Không tìm thấy</v>
      </c>
      <c r="M111" s="13" t="str" cm="1">
        <f t="array" ref="M111">IFERROR(
_xlfn.XLOOKUP(
1,
(TRIM(CLEAN(SUBSTITUTE([1]Main!$F$2:$F$5000,CHAR(160)," ")))=
TRIM(CLEAN(SUBSTITUTE($B111,CHAR(160)," "))))
*
(--TEXT([1]Main!$N$2:$N$5000,"dd/mm/yyyy")=
--TEXT($C111,"dd/mm/yyyy")),
[1]Main!$S$2:$S$5000
),
_xlfn.XLOOKUP(
1,
(TRIM(CLEAN(SUBSTITUTE([2]Main!$F$2:$F$5000,CHAR(160)," ")))=
TRIM(CLEAN(SUBSTITUTE($B111,CHAR(160)," "))))
*
(--TEXT([2]Main!$N$2:$N$5000,"dd/mm/yyyy")=
--TEXT($C111,"dd/mm/yyyy")),
[2]Main!$S$2:$S$5000,
"Không tìm thấy"
)
)</f>
        <v>Không tìm thấy</v>
      </c>
      <c r="N111" s="13" t="str" cm="1">
        <f t="array" ref="N111">IFERROR(
_xlfn.XLOOKUP(
1,
(TRIM(CLEAN(SUBSTITUTE([1]Main!$F$2:$F$5000,CHAR(160)," ")))=
TRIM(CLEAN(SUBSTITUTE($B111,CHAR(160)," "))))
*
(--TEXT([1]Main!$N$2:$N$5000,"dd/mm/yyyy")=
--TEXT($C111,"dd/mm/yyyy")),
[1]Main!$AL$2:$AL$5000
),
_xlfn.XLOOKUP(
1,
(TRIM(CLEAN(SUBSTITUTE([2]Main!$F$2:$F$5000,CHAR(160)," ")))=
TRIM(CLEAN(SUBSTITUTE($B111,CHAR(160)," "))))
*
(--TEXT([2]Main!$N$2:$N$5000,"dd/mm/yyyy")=
--TEXT($C111,"dd/mm/yyyy")),
[2]Main!$AL$2:$AL$5000,
"Không tìm thấy"
)
)</f>
        <v>Không tìm thấy</v>
      </c>
      <c r="O111" s="10"/>
      <c r="P111" s="10"/>
      <c r="Q111" s="10"/>
      <c r="R111" s="10"/>
      <c r="S111" s="10"/>
      <c r="T111" s="3" t="s">
        <v>653</v>
      </c>
      <c r="U111" s="3"/>
      <c r="V111" s="3"/>
      <c r="W111" s="3" t="str">
        <f>IF(
    COUNTIFS(
        [1]Main!$F:$F,$B111,
        [1]Main!$N:$N,$C111
    )&gt;0,
    "Active",
    IF(
        COUNTIFS(
            [2]Main!$F:$F,$B111,
            [2]Main!$N:$N,$C111
        )&gt;0,
        "Inactive",
        "Không tìm thấy"
    )
)</f>
        <v>Không tìm thấy</v>
      </c>
      <c r="X111" s="15" t="str" cm="1">
        <f t="array" ref="X111">IFERROR(
_xlfn.XLOOKUP(
1,
(TRIM(CLEAN(SUBSTITUTE([2]Main!$F$2:$F$5000,CHAR(160)," ")))=
TRIM(CLEAN(SUBSTITUTE($B111,CHAR(160)," "))))
*
(--TEXT([2]Main!$N$2:$N$5000,"dd/mm/yyyy")=
--TEXT($C111,"dd/mm/yyyy")),
[2]Main!$AA$2:$AA$5000,
""
),
"")</f>
        <v/>
      </c>
      <c r="Y111" s="3"/>
      <c r="Z111" s="3"/>
      <c r="AA111" s="3"/>
      <c r="AB111" s="3"/>
    </row>
    <row r="112" spans="1:28" ht="25.5" customHeight="1" x14ac:dyDescent="0.25">
      <c r="A112" s="1">
        <v>111</v>
      </c>
      <c r="B112" s="2" t="s">
        <v>578</v>
      </c>
      <c r="C112" s="2" t="s">
        <v>579</v>
      </c>
      <c r="D112" s="2" t="s">
        <v>580</v>
      </c>
      <c r="E112" s="2" t="s">
        <v>581</v>
      </c>
      <c r="F112" s="2" t="s">
        <v>582</v>
      </c>
      <c r="G112" s="2" t="s">
        <v>76</v>
      </c>
      <c r="H112" s="1" t="s">
        <v>583</v>
      </c>
      <c r="I112" s="1" t="s">
        <v>14</v>
      </c>
      <c r="J112" s="2" t="s">
        <v>126</v>
      </c>
      <c r="K112" s="13" t="str" cm="1">
        <f t="array" ref="K112">IFERROR(
_xlfn.XLOOKUP(
1,
(TRIM(CLEAN(SUBSTITUTE([1]Main!$F$2:$F$5000,CHAR(160)," ")))=
TRIM(CLEAN(SUBSTITUTE($B112,CHAR(160)," "))))
*
(--TEXT([1]Main!$N$2:$N$5000,"dd/mm/yyyy")=
--TEXT($C112,"dd/mm/yyyy")),
[1]Main!$C$2:$C$5000
),
_xlfn.XLOOKUP(
1,
(TRIM(CLEAN(SUBSTITUTE([2]Main!$F$2:$F$5000,CHAR(160)," ")))=
TRIM(CLEAN(SUBSTITUTE($B112,CHAR(160)," "))))
*
(--TEXT([2]Main!$N$2:$N$5000,"dd/mm/yyyy")=
--TEXT($C112,"dd/mm/yyyy")),
[2]Main!$C$2:$C$5000,
"Không tìm thấy"
)
)</f>
        <v>038303005376</v>
      </c>
      <c r="L112" s="13" t="str" cm="1">
        <f t="array" ref="L112">IFERROR(
_xlfn.XLOOKUP(
1,
(TRIM(CLEAN(SUBSTITUTE([1]Main!$F$2:$F$5000,CHAR(160)," ")))=
TRIM(CLEAN(SUBSTITUTE($B112,CHAR(160)," "))))
*
(--TEXT([1]Main!$N$2:$N$5000,"dd/mm/yyyy")=
--TEXT($C112,"dd/mm/yyyy")),
[1]Main!$Q$2:$Q$5000
),
_xlfn.XLOOKUP(
1,
(TRIM(CLEAN(SUBSTITUTE([2]Main!$F$2:$F$5000,CHAR(160)," ")))=
TRIM(CLEAN(SUBSTITUTE($B112,CHAR(160)," "))))
*
(--TEXT([2]Main!$N$2:$N$5000,"dd/mm/yyyy")=
--TEXT($C112,"dd/mm/yyyy")),
[2]Main!$Q$2:$Q$5000,
"Không tìm thấy"
)
)</f>
        <v>Nữ</v>
      </c>
      <c r="M112" s="13" t="str" cm="1">
        <f t="array" ref="M112">IFERROR(
_xlfn.XLOOKUP(
1,
(TRIM(CLEAN(SUBSTITUTE([1]Main!$F$2:$F$5000,CHAR(160)," ")))=
TRIM(CLEAN(SUBSTITUTE($B112,CHAR(160)," "))))
*
(--TEXT([1]Main!$N$2:$N$5000,"dd/mm/yyyy")=
--TEXT($C112,"dd/mm/yyyy")),
[1]Main!$S$2:$S$5000
),
_xlfn.XLOOKUP(
1,
(TRIM(CLEAN(SUBSTITUTE([2]Main!$F$2:$F$5000,CHAR(160)," ")))=
TRIM(CLEAN(SUBSTITUTE($B112,CHAR(160)," "))))
*
(--TEXT([2]Main!$N$2:$N$5000,"dd/mm/yyyy")=
--TEXT($C112,"dd/mm/yyyy")),
[2]Main!$S$2:$S$5000,
"Không tìm thấy"
)
)</f>
        <v>VN</v>
      </c>
      <c r="N112" s="13" t="str" cm="1">
        <f t="array" ref="N112">IFERROR(
_xlfn.XLOOKUP(
1,
(TRIM(CLEAN(SUBSTITUTE([1]Main!$F$2:$F$5000,CHAR(160)," ")))=
TRIM(CLEAN(SUBSTITUTE($B112,CHAR(160)," "))))
*
(--TEXT([1]Main!$N$2:$N$5000,"dd/mm/yyyy")=
--TEXT($C112,"dd/mm/yyyy")),
[1]Main!$AL$2:$AL$5000
),
_xlfn.XLOOKUP(
1,
(TRIM(CLEAN(SUBSTITUTE([2]Main!$F$2:$F$5000,CHAR(160)," ")))=
TRIM(CLEAN(SUBSTITUTE($B112,CHAR(160)," "))))
*
(--TEXT([2]Main!$N$2:$N$5000,"dd/mm/yyyy")=
--TEXT($C112,"dd/mm/yyyy")),
[2]Main!$AL$2:$AL$5000,
"Không tìm thấy"
)
)</f>
        <v>Thành phố Hà Nội</v>
      </c>
      <c r="O112" s="10"/>
      <c r="P112" s="10"/>
      <c r="Q112" s="10"/>
      <c r="R112" s="10"/>
      <c r="S112" s="10"/>
      <c r="T112" s="3" t="s">
        <v>653</v>
      </c>
      <c r="U112" s="3"/>
      <c r="V112" s="3"/>
      <c r="W112" s="3" t="str">
        <f>IF(
    COUNTIFS(
        [1]Main!$F:$F,$B112,
        [1]Main!$N:$N,$C112
    )&gt;0,
    "Active",
    IF(
        COUNTIFS(
            [2]Main!$F:$F,$B112,
            [2]Main!$N:$N,$C112
        )&gt;0,
        "Inactive",
        "Không tìm thấy"
    )
)</f>
        <v>Active</v>
      </c>
      <c r="X112" s="15" t="str" cm="1">
        <f t="array" ref="X112">IFERROR(
_xlfn.XLOOKUP(
1,
(TRIM(CLEAN(SUBSTITUTE([2]Main!$F$2:$F$5000,CHAR(160)," ")))=
TRIM(CLEAN(SUBSTITUTE($B112,CHAR(160)," "))))
*
(--TEXT([2]Main!$N$2:$N$5000,"dd/mm/yyyy")=
--TEXT($C112,"dd/mm/yyyy")),
[2]Main!$AA$2:$AA$5000,
""
),
"")</f>
        <v/>
      </c>
      <c r="Y112" s="3"/>
      <c r="Z112" s="3"/>
      <c r="AA112" s="3"/>
      <c r="AB112" s="3"/>
    </row>
    <row r="113" spans="1:28" ht="38.25" customHeight="1" x14ac:dyDescent="0.25">
      <c r="A113" s="1">
        <v>112</v>
      </c>
      <c r="B113" s="2" t="s">
        <v>584</v>
      </c>
      <c r="C113" s="2" t="s">
        <v>585</v>
      </c>
      <c r="D113" s="2" t="s">
        <v>586</v>
      </c>
      <c r="E113" s="2" t="s">
        <v>587</v>
      </c>
      <c r="F113" s="2" t="s">
        <v>588</v>
      </c>
      <c r="G113" s="2" t="s">
        <v>62</v>
      </c>
      <c r="H113" s="1" t="s">
        <v>589</v>
      </c>
      <c r="I113" s="1" t="s">
        <v>14</v>
      </c>
      <c r="J113" s="2" t="s">
        <v>30</v>
      </c>
      <c r="K113" s="13" t="str" cm="1">
        <f t="array" ref="K113">IFERROR(
_xlfn.XLOOKUP(
1,
(TRIM(CLEAN(SUBSTITUTE([1]Main!$F$2:$F$5000,CHAR(160)," ")))=
TRIM(CLEAN(SUBSTITUTE($B113,CHAR(160)," "))))
*
(--TEXT([1]Main!$N$2:$N$5000,"dd/mm/yyyy")=
--TEXT($C113,"dd/mm/yyyy")),
[1]Main!$C$2:$C$5000
),
_xlfn.XLOOKUP(
1,
(TRIM(CLEAN(SUBSTITUTE([2]Main!$F$2:$F$5000,CHAR(160)," ")))=
TRIM(CLEAN(SUBSTITUTE($B113,CHAR(160)," "))))
*
(--TEXT([2]Main!$N$2:$N$5000,"dd/mm/yyyy")=
--TEXT($C113,"dd/mm/yyyy")),
[2]Main!$C$2:$C$5000,
"Không tìm thấy"
)
)</f>
        <v>027300001021</v>
      </c>
      <c r="L113" s="13" t="str" cm="1">
        <f t="array" ref="L113">IFERROR(
_xlfn.XLOOKUP(
1,
(TRIM(CLEAN(SUBSTITUTE([1]Main!$F$2:$F$5000,CHAR(160)," ")))=
TRIM(CLEAN(SUBSTITUTE($B113,CHAR(160)," "))))
*
(--TEXT([1]Main!$N$2:$N$5000,"dd/mm/yyyy")=
--TEXT($C113,"dd/mm/yyyy")),
[1]Main!$Q$2:$Q$5000
),
_xlfn.XLOOKUP(
1,
(TRIM(CLEAN(SUBSTITUTE([2]Main!$F$2:$F$5000,CHAR(160)," ")))=
TRIM(CLEAN(SUBSTITUTE($B113,CHAR(160)," "))))
*
(--TEXT([2]Main!$N$2:$N$5000,"dd/mm/yyyy")=
--TEXT($C113,"dd/mm/yyyy")),
[2]Main!$Q$2:$Q$5000,
"Không tìm thấy"
)
)</f>
        <v>Nữ</v>
      </c>
      <c r="M113" s="13" t="str" cm="1">
        <f t="array" ref="M113">IFERROR(
_xlfn.XLOOKUP(
1,
(TRIM(CLEAN(SUBSTITUTE([1]Main!$F$2:$F$5000,CHAR(160)," ")))=
TRIM(CLEAN(SUBSTITUTE($B113,CHAR(160)," "))))
*
(--TEXT([1]Main!$N$2:$N$5000,"dd/mm/yyyy")=
--TEXT($C113,"dd/mm/yyyy")),
[1]Main!$S$2:$S$5000
),
_xlfn.XLOOKUP(
1,
(TRIM(CLEAN(SUBSTITUTE([2]Main!$F$2:$F$5000,CHAR(160)," ")))=
TRIM(CLEAN(SUBSTITUTE($B113,CHAR(160)," "))))
*
(--TEXT([2]Main!$N$2:$N$5000,"dd/mm/yyyy")=
--TEXT($C113,"dd/mm/yyyy")),
[2]Main!$S$2:$S$5000,
"Không tìm thấy"
)
)</f>
        <v>VN</v>
      </c>
      <c r="N113" s="13" t="str" cm="1">
        <f t="array" ref="N113">IFERROR(
_xlfn.XLOOKUP(
1,
(TRIM(CLEAN(SUBSTITUTE([1]Main!$F$2:$F$5000,CHAR(160)," ")))=
TRIM(CLEAN(SUBSTITUTE($B113,CHAR(160)," "))))
*
(--TEXT([1]Main!$N$2:$N$5000,"dd/mm/yyyy")=
--TEXT($C113,"dd/mm/yyyy")),
[1]Main!$AL$2:$AL$5000
),
_xlfn.XLOOKUP(
1,
(TRIM(CLEAN(SUBSTITUTE([2]Main!$F$2:$F$5000,CHAR(160)," ")))=
TRIM(CLEAN(SUBSTITUTE($B113,CHAR(160)," "))))
*
(--TEXT([2]Main!$N$2:$N$5000,"dd/mm/yyyy")=
--TEXT($C113,"dd/mm/yyyy")),
[2]Main!$AL$2:$AL$5000,
"Không tìm thấy"
)
)</f>
        <v>Thành phố Hà Nội</v>
      </c>
      <c r="O113" s="10"/>
      <c r="P113" s="10"/>
      <c r="Q113" s="10"/>
      <c r="R113" s="10"/>
      <c r="S113" s="10"/>
      <c r="T113" s="3" t="s">
        <v>653</v>
      </c>
      <c r="U113" s="3"/>
      <c r="V113" s="3"/>
      <c r="W113" s="3" t="str">
        <f>IF(
    COUNTIFS(
        [1]Main!$F:$F,$B113,
        [1]Main!$N:$N,$C113
    )&gt;0,
    "Active",
    IF(
        COUNTIFS(
            [2]Main!$F:$F,$B113,
            [2]Main!$N:$N,$C113
        )&gt;0,
        "Inactive",
        "Không tìm thấy"
    )
)</f>
        <v>Active</v>
      </c>
      <c r="X113" s="15" t="str" cm="1">
        <f t="array" ref="X113">IFERROR(
_xlfn.XLOOKUP(
1,
(TRIM(CLEAN(SUBSTITUTE([2]Main!$F$2:$F$5000,CHAR(160)," ")))=
TRIM(CLEAN(SUBSTITUTE($B113,CHAR(160)," "))))
*
(--TEXT([2]Main!$N$2:$N$5000,"dd/mm/yyyy")=
--TEXT($C113,"dd/mm/yyyy")),
[2]Main!$AA$2:$AA$5000,
""
),
"")</f>
        <v/>
      </c>
      <c r="Y113" s="3"/>
      <c r="Z113" s="3"/>
      <c r="AA113" s="3"/>
      <c r="AB113" s="3"/>
    </row>
    <row r="114" spans="1:28" ht="38.25" customHeight="1" x14ac:dyDescent="0.25">
      <c r="A114" s="1">
        <v>113</v>
      </c>
      <c r="B114" s="2" t="s">
        <v>590</v>
      </c>
      <c r="C114" s="2" t="s">
        <v>591</v>
      </c>
      <c r="D114" s="2" t="s">
        <v>592</v>
      </c>
      <c r="E114" s="2" t="s">
        <v>593</v>
      </c>
      <c r="F114" s="2" t="s">
        <v>47</v>
      </c>
      <c r="G114" s="2" t="s">
        <v>436</v>
      </c>
      <c r="H114" s="1" t="s">
        <v>589</v>
      </c>
      <c r="I114" s="1" t="s">
        <v>38</v>
      </c>
      <c r="J114" s="2" t="s">
        <v>126</v>
      </c>
      <c r="K114" s="13" t="str" cm="1">
        <f t="array" ref="K114">IFERROR(
_xlfn.XLOOKUP(
1,
(TRIM(CLEAN(SUBSTITUTE([1]Main!$F$2:$F$5000,CHAR(160)," ")))=
TRIM(CLEAN(SUBSTITUTE($B114,CHAR(160)," "))))
*
(--TEXT([1]Main!$N$2:$N$5000,"dd/mm/yyyy")=
--TEXT($C114,"dd/mm/yyyy")),
[1]Main!$C$2:$C$5000
),
_xlfn.XLOOKUP(
1,
(TRIM(CLEAN(SUBSTITUTE([2]Main!$F$2:$F$5000,CHAR(160)," ")))=
TRIM(CLEAN(SUBSTITUTE($B114,CHAR(160)," "))))
*
(--TEXT([2]Main!$N$2:$N$5000,"dd/mm/yyyy")=
--TEXT($C114,"dd/mm/yyyy")),
[2]Main!$C$2:$C$5000,
"Không tìm thấy"
)
)</f>
        <v>001200009025</v>
      </c>
      <c r="L114" s="13" t="str" cm="1">
        <f t="array" ref="L114">IFERROR(
_xlfn.XLOOKUP(
1,
(TRIM(CLEAN(SUBSTITUTE([1]Main!$F$2:$F$5000,CHAR(160)," ")))=
TRIM(CLEAN(SUBSTITUTE($B114,CHAR(160)," "))))
*
(--TEXT([1]Main!$N$2:$N$5000,"dd/mm/yyyy")=
--TEXT($C114,"dd/mm/yyyy")),
[1]Main!$Q$2:$Q$5000
),
_xlfn.XLOOKUP(
1,
(TRIM(CLEAN(SUBSTITUTE([2]Main!$F$2:$F$5000,CHAR(160)," ")))=
TRIM(CLEAN(SUBSTITUTE($B114,CHAR(160)," "))))
*
(--TEXT([2]Main!$N$2:$N$5000,"dd/mm/yyyy")=
--TEXT($C114,"dd/mm/yyyy")),
[2]Main!$Q$2:$Q$5000,
"Không tìm thấy"
)
)</f>
        <v>Nam</v>
      </c>
      <c r="M114" s="13" t="str" cm="1">
        <f t="array" ref="M114">IFERROR(
_xlfn.XLOOKUP(
1,
(TRIM(CLEAN(SUBSTITUTE([1]Main!$F$2:$F$5000,CHAR(160)," ")))=
TRIM(CLEAN(SUBSTITUTE($B114,CHAR(160)," "))))
*
(--TEXT([1]Main!$N$2:$N$5000,"dd/mm/yyyy")=
--TEXT($C114,"dd/mm/yyyy")),
[1]Main!$S$2:$S$5000
),
_xlfn.XLOOKUP(
1,
(TRIM(CLEAN(SUBSTITUTE([2]Main!$F$2:$F$5000,CHAR(160)," ")))=
TRIM(CLEAN(SUBSTITUTE($B114,CHAR(160)," "))))
*
(--TEXT([2]Main!$N$2:$N$5000,"dd/mm/yyyy")=
--TEXT($C114,"dd/mm/yyyy")),
[2]Main!$S$2:$S$5000,
"Không tìm thấy"
)
)</f>
        <v>VN</v>
      </c>
      <c r="N114" s="13" t="str" cm="1">
        <f t="array" ref="N114">IFERROR(
_xlfn.XLOOKUP(
1,
(TRIM(CLEAN(SUBSTITUTE([1]Main!$F$2:$F$5000,CHAR(160)," ")))=
TRIM(CLEAN(SUBSTITUTE($B114,CHAR(160)," "))))
*
(--TEXT([1]Main!$N$2:$N$5000,"dd/mm/yyyy")=
--TEXT($C114,"dd/mm/yyyy")),
[1]Main!$AL$2:$AL$5000
),
_xlfn.XLOOKUP(
1,
(TRIM(CLEAN(SUBSTITUTE([2]Main!$F$2:$F$5000,CHAR(160)," ")))=
TRIM(CLEAN(SUBSTITUTE($B114,CHAR(160)," "))))
*
(--TEXT([2]Main!$N$2:$N$5000,"dd/mm/yyyy")=
--TEXT($C114,"dd/mm/yyyy")),
[2]Main!$AL$2:$AL$5000,
"Không tìm thấy"
)
)</f>
        <v>Thành phố Hà Nội</v>
      </c>
      <c r="O114" s="10"/>
      <c r="P114" s="10"/>
      <c r="Q114" s="10"/>
      <c r="R114" s="10"/>
      <c r="S114" s="10"/>
      <c r="T114" s="3" t="s">
        <v>653</v>
      </c>
      <c r="U114" s="3"/>
      <c r="V114" s="3"/>
      <c r="W114" s="3" t="str">
        <f>IF(
    COUNTIFS(
        [1]Main!$F:$F,$B114,
        [1]Main!$N:$N,$C114
    )&gt;0,
    "Active",
    IF(
        COUNTIFS(
            [2]Main!$F:$F,$B114,
            [2]Main!$N:$N,$C114
        )&gt;0,
        "Inactive",
        "Không tìm thấy"
    )
)</f>
        <v>Active</v>
      </c>
      <c r="X114" s="15" t="str" cm="1">
        <f t="array" ref="X114">IFERROR(
_xlfn.XLOOKUP(
1,
(TRIM(CLEAN(SUBSTITUTE([2]Main!$F$2:$F$5000,CHAR(160)," ")))=
TRIM(CLEAN(SUBSTITUTE($B114,CHAR(160)," "))))
*
(--TEXT([2]Main!$N$2:$N$5000,"dd/mm/yyyy")=
--TEXT($C114,"dd/mm/yyyy")),
[2]Main!$AA$2:$AA$5000,
""
),
"")</f>
        <v/>
      </c>
      <c r="Y114" s="3"/>
      <c r="Z114" s="3"/>
      <c r="AA114" s="3"/>
      <c r="AB114" s="3"/>
    </row>
    <row r="115" spans="1:28" ht="38.25" customHeight="1" x14ac:dyDescent="0.25">
      <c r="A115" s="1">
        <v>114</v>
      </c>
      <c r="B115" s="2" t="s">
        <v>594</v>
      </c>
      <c r="C115" s="2" t="s">
        <v>595</v>
      </c>
      <c r="D115" s="2" t="s">
        <v>596</v>
      </c>
      <c r="E115" s="2" t="s">
        <v>597</v>
      </c>
      <c r="F115" s="2" t="s">
        <v>598</v>
      </c>
      <c r="G115" s="2" t="s">
        <v>599</v>
      </c>
      <c r="H115" s="1" t="s">
        <v>589</v>
      </c>
      <c r="I115" s="1" t="s">
        <v>14</v>
      </c>
      <c r="J115" s="2" t="s">
        <v>126</v>
      </c>
      <c r="K115" s="13" t="str" cm="1">
        <f t="array" ref="K115">IFERROR(
_xlfn.XLOOKUP(
1,
(TRIM(CLEAN(SUBSTITUTE([1]Main!$F$2:$F$5000,CHAR(160)," ")))=
TRIM(CLEAN(SUBSTITUTE($B115,CHAR(160)," "))))
*
(--TEXT([1]Main!$N$2:$N$5000,"dd/mm/yyyy")=
--TEXT($C115,"dd/mm/yyyy")),
[1]Main!$C$2:$C$5000
),
_xlfn.XLOOKUP(
1,
(TRIM(CLEAN(SUBSTITUTE([2]Main!$F$2:$F$5000,CHAR(160)," ")))=
TRIM(CLEAN(SUBSTITUTE($B115,CHAR(160)," "))))
*
(--TEXT([2]Main!$N$2:$N$5000,"dd/mm/yyyy")=
--TEXT($C115,"dd/mm/yyyy")),
[2]Main!$C$2:$C$5000,
"Không tìm thấy"
)
)</f>
        <v>031301008490</v>
      </c>
      <c r="L115" s="13" t="str" cm="1">
        <f t="array" ref="L115">IFERROR(
_xlfn.XLOOKUP(
1,
(TRIM(CLEAN(SUBSTITUTE([1]Main!$F$2:$F$5000,CHAR(160)," ")))=
TRIM(CLEAN(SUBSTITUTE($B115,CHAR(160)," "))))
*
(--TEXT([1]Main!$N$2:$N$5000,"dd/mm/yyyy")=
--TEXT($C115,"dd/mm/yyyy")),
[1]Main!$Q$2:$Q$5000
),
_xlfn.XLOOKUP(
1,
(TRIM(CLEAN(SUBSTITUTE([2]Main!$F$2:$F$5000,CHAR(160)," ")))=
TRIM(CLEAN(SUBSTITUTE($B115,CHAR(160)," "))))
*
(--TEXT([2]Main!$N$2:$N$5000,"dd/mm/yyyy")=
--TEXT($C115,"dd/mm/yyyy")),
[2]Main!$Q$2:$Q$5000,
"Không tìm thấy"
)
)</f>
        <v>Nữ</v>
      </c>
      <c r="M115" s="13" t="str" cm="1">
        <f t="array" ref="M115">IFERROR(
_xlfn.XLOOKUP(
1,
(TRIM(CLEAN(SUBSTITUTE([1]Main!$F$2:$F$5000,CHAR(160)," ")))=
TRIM(CLEAN(SUBSTITUTE($B115,CHAR(160)," "))))
*
(--TEXT([1]Main!$N$2:$N$5000,"dd/mm/yyyy")=
--TEXT($C115,"dd/mm/yyyy")),
[1]Main!$S$2:$S$5000
),
_xlfn.XLOOKUP(
1,
(TRIM(CLEAN(SUBSTITUTE([2]Main!$F$2:$F$5000,CHAR(160)," ")))=
TRIM(CLEAN(SUBSTITUTE($B115,CHAR(160)," "))))
*
(--TEXT([2]Main!$N$2:$N$5000,"dd/mm/yyyy")=
--TEXT($C115,"dd/mm/yyyy")),
[2]Main!$S$2:$S$5000,
"Không tìm thấy"
)
)</f>
        <v>VN</v>
      </c>
      <c r="N115" s="13" t="str" cm="1">
        <f t="array" ref="N115">IFERROR(
_xlfn.XLOOKUP(
1,
(TRIM(CLEAN(SUBSTITUTE([1]Main!$F$2:$F$5000,CHAR(160)," ")))=
TRIM(CLEAN(SUBSTITUTE($B115,CHAR(160)," "))))
*
(--TEXT([1]Main!$N$2:$N$5000,"dd/mm/yyyy")=
--TEXT($C115,"dd/mm/yyyy")),
[1]Main!$AL$2:$AL$5000
),
_xlfn.XLOOKUP(
1,
(TRIM(CLEAN(SUBSTITUTE([2]Main!$F$2:$F$5000,CHAR(160)," ")))=
TRIM(CLEAN(SUBSTITUTE($B115,CHAR(160)," "))))
*
(--TEXT([2]Main!$N$2:$N$5000,"dd/mm/yyyy")=
--TEXT($C115,"dd/mm/yyyy")),
[2]Main!$AL$2:$AL$5000,
"Không tìm thấy"
)
)</f>
        <v>Thành phố Hà Nội</v>
      </c>
      <c r="O115" s="10"/>
      <c r="P115" s="10"/>
      <c r="Q115" s="10"/>
      <c r="R115" s="10"/>
      <c r="S115" s="10"/>
      <c r="T115" s="3" t="s">
        <v>653</v>
      </c>
      <c r="U115" s="3"/>
      <c r="V115" s="3"/>
      <c r="W115" s="3" t="str">
        <f>IF(
    COUNTIFS(
        [1]Main!$F:$F,$B115,
        [1]Main!$N:$N,$C115
    )&gt;0,
    "Active",
    IF(
        COUNTIFS(
            [2]Main!$F:$F,$B115,
            [2]Main!$N:$N,$C115
        )&gt;0,
        "Inactive",
        "Không tìm thấy"
    )
)</f>
        <v>Active</v>
      </c>
      <c r="X115" s="15" t="str" cm="1">
        <f t="array" ref="X115">IFERROR(
_xlfn.XLOOKUP(
1,
(TRIM(CLEAN(SUBSTITUTE([2]Main!$F$2:$F$5000,CHAR(160)," ")))=
TRIM(CLEAN(SUBSTITUTE($B115,CHAR(160)," "))))
*
(--TEXT([2]Main!$N$2:$N$5000,"dd/mm/yyyy")=
--TEXT($C115,"dd/mm/yyyy")),
[2]Main!$AA$2:$AA$5000,
""
),
"")</f>
        <v/>
      </c>
      <c r="Y115" s="3"/>
      <c r="Z115" s="3"/>
      <c r="AA115" s="3"/>
      <c r="AB115" s="3"/>
    </row>
    <row r="116" spans="1:28" ht="38.25" customHeight="1" x14ac:dyDescent="0.25">
      <c r="A116" s="1">
        <v>115</v>
      </c>
      <c r="B116" s="2" t="s">
        <v>600</v>
      </c>
      <c r="C116" s="2" t="s">
        <v>601</v>
      </c>
      <c r="D116" s="2" t="s">
        <v>602</v>
      </c>
      <c r="E116" s="2" t="s">
        <v>603</v>
      </c>
      <c r="F116" s="2" t="s">
        <v>47</v>
      </c>
      <c r="G116" s="2" t="s">
        <v>348</v>
      </c>
      <c r="H116" s="1" t="s">
        <v>604</v>
      </c>
      <c r="I116" s="1" t="s">
        <v>38</v>
      </c>
      <c r="J116" s="2" t="s">
        <v>15</v>
      </c>
      <c r="K116" s="13" t="str" cm="1">
        <f t="array" ref="K116">IFERROR(
_xlfn.XLOOKUP(
1,
(TRIM(CLEAN(SUBSTITUTE([1]Main!$F$2:$F$5000,CHAR(160)," ")))=
TRIM(CLEAN(SUBSTITUTE($B116,CHAR(160)," "))))
*
(--TEXT([1]Main!$N$2:$N$5000,"dd/mm/yyyy")=
--TEXT($C116,"dd/mm/yyyy")),
[1]Main!$C$2:$C$5000
),
_xlfn.XLOOKUP(
1,
(TRIM(CLEAN(SUBSTITUTE([2]Main!$F$2:$F$5000,CHAR(160)," ")))=
TRIM(CLEAN(SUBSTITUTE($B116,CHAR(160)," "))))
*
(--TEXT([2]Main!$N$2:$N$5000,"dd/mm/yyyy")=
--TEXT($C116,"dd/mm/yyyy")),
[2]Main!$C$2:$C$5000,
"Không tìm thấy"
)
)</f>
        <v>001203041839</v>
      </c>
      <c r="L116" s="13" t="str" cm="1">
        <f t="array" ref="L116">IFERROR(
_xlfn.XLOOKUP(
1,
(TRIM(CLEAN(SUBSTITUTE([1]Main!$F$2:$F$5000,CHAR(160)," ")))=
TRIM(CLEAN(SUBSTITUTE($B116,CHAR(160)," "))))
*
(--TEXT([1]Main!$N$2:$N$5000,"dd/mm/yyyy")=
--TEXT($C116,"dd/mm/yyyy")),
[1]Main!$Q$2:$Q$5000
),
_xlfn.XLOOKUP(
1,
(TRIM(CLEAN(SUBSTITUTE([2]Main!$F$2:$F$5000,CHAR(160)," ")))=
TRIM(CLEAN(SUBSTITUTE($B116,CHAR(160)," "))))
*
(--TEXT([2]Main!$N$2:$N$5000,"dd/mm/yyyy")=
--TEXT($C116,"dd/mm/yyyy")),
[2]Main!$Q$2:$Q$5000,
"Không tìm thấy"
)
)</f>
        <v>Nam</v>
      </c>
      <c r="M116" s="13" t="str" cm="1">
        <f t="array" ref="M116">IFERROR(
_xlfn.XLOOKUP(
1,
(TRIM(CLEAN(SUBSTITUTE([1]Main!$F$2:$F$5000,CHAR(160)," ")))=
TRIM(CLEAN(SUBSTITUTE($B116,CHAR(160)," "))))
*
(--TEXT([1]Main!$N$2:$N$5000,"dd/mm/yyyy")=
--TEXT($C116,"dd/mm/yyyy")),
[1]Main!$S$2:$S$5000
),
_xlfn.XLOOKUP(
1,
(TRIM(CLEAN(SUBSTITUTE([2]Main!$F$2:$F$5000,CHAR(160)," ")))=
TRIM(CLEAN(SUBSTITUTE($B116,CHAR(160)," "))))
*
(--TEXT([2]Main!$N$2:$N$5000,"dd/mm/yyyy")=
--TEXT($C116,"dd/mm/yyyy")),
[2]Main!$S$2:$S$5000,
"Không tìm thấy"
)
)</f>
        <v>VN</v>
      </c>
      <c r="N116" s="13" t="str" cm="1">
        <f t="array" ref="N116">IFERROR(
_xlfn.XLOOKUP(
1,
(TRIM(CLEAN(SUBSTITUTE([1]Main!$F$2:$F$5000,CHAR(160)," ")))=
TRIM(CLEAN(SUBSTITUTE($B116,CHAR(160)," "))))
*
(--TEXT([1]Main!$N$2:$N$5000,"dd/mm/yyyy")=
--TEXT($C116,"dd/mm/yyyy")),
[1]Main!$AL$2:$AL$5000
),
_xlfn.XLOOKUP(
1,
(TRIM(CLEAN(SUBSTITUTE([2]Main!$F$2:$F$5000,CHAR(160)," ")))=
TRIM(CLEAN(SUBSTITUTE($B116,CHAR(160)," "))))
*
(--TEXT([2]Main!$N$2:$N$5000,"dd/mm/yyyy")=
--TEXT($C116,"dd/mm/yyyy")),
[2]Main!$AL$2:$AL$5000,
"Không tìm thấy"
)
)</f>
        <v>Thành phố Hà Nội</v>
      </c>
      <c r="O116" s="10"/>
      <c r="P116" s="10"/>
      <c r="Q116" s="10"/>
      <c r="R116" s="10"/>
      <c r="S116" s="10"/>
      <c r="T116" s="3" t="s">
        <v>653</v>
      </c>
      <c r="U116" s="3"/>
      <c r="V116" s="3"/>
      <c r="W116" s="3" t="str">
        <f>IF(
    COUNTIFS(
        [1]Main!$F:$F,$B116,
        [1]Main!$N:$N,$C116
    )&gt;0,
    "Active",
    IF(
        COUNTIFS(
            [2]Main!$F:$F,$B116,
            [2]Main!$N:$N,$C116
        )&gt;0,
        "Inactive",
        "Không tìm thấy"
    )
)</f>
        <v>Active</v>
      </c>
      <c r="X116" s="15" t="str" cm="1">
        <f t="array" ref="X116">IFERROR(
_xlfn.XLOOKUP(
1,
(TRIM(CLEAN(SUBSTITUTE([2]Main!$F$2:$F$5000,CHAR(160)," ")))=
TRIM(CLEAN(SUBSTITUTE($B116,CHAR(160)," "))))
*
(--TEXT([2]Main!$N$2:$N$5000,"dd/mm/yyyy")=
--TEXT($C116,"dd/mm/yyyy")),
[2]Main!$AA$2:$AA$5000,
""
),
"")</f>
        <v/>
      </c>
      <c r="Y116" s="3"/>
      <c r="Z116" s="3"/>
      <c r="AA116" s="3"/>
      <c r="AB116" s="3"/>
    </row>
    <row r="117" spans="1:28" ht="38.25" customHeight="1" x14ac:dyDescent="0.25">
      <c r="A117" s="1">
        <v>116</v>
      </c>
      <c r="B117" s="2" t="s">
        <v>605</v>
      </c>
      <c r="C117" s="2" t="s">
        <v>606</v>
      </c>
      <c r="D117" s="2" t="s">
        <v>607</v>
      </c>
      <c r="E117" s="2" t="s">
        <v>53</v>
      </c>
      <c r="F117" s="2" t="s">
        <v>141</v>
      </c>
      <c r="G117" s="2" t="s">
        <v>142</v>
      </c>
      <c r="H117" s="1" t="s">
        <v>608</v>
      </c>
      <c r="I117" s="1" t="s">
        <v>14</v>
      </c>
      <c r="J117" s="2" t="s">
        <v>15</v>
      </c>
      <c r="K117" s="13" t="str" cm="1">
        <f t="array" ref="K117">IFERROR(
_xlfn.XLOOKUP(
1,
(TRIM(CLEAN(SUBSTITUTE([1]Main!$F$2:$F$5000,CHAR(160)," ")))=
TRIM(CLEAN(SUBSTITUTE($B117,CHAR(160)," "))))
*
(--TEXT([1]Main!$N$2:$N$5000,"dd/mm/yyyy")=
--TEXT($C117,"dd/mm/yyyy")),
[1]Main!$C$2:$C$5000
),
_xlfn.XLOOKUP(
1,
(TRIM(CLEAN(SUBSTITUTE([2]Main!$F$2:$F$5000,CHAR(160)," ")))=
TRIM(CLEAN(SUBSTITUTE($B117,CHAR(160)," "))))
*
(--TEXT([2]Main!$N$2:$N$5000,"dd/mm/yyyy")=
--TEXT($C117,"dd/mm/yyyy")),
[2]Main!$C$2:$C$5000,
"Không tìm thấy"
)
)</f>
        <v>001203023540</v>
      </c>
      <c r="L117" s="13" t="str" cm="1">
        <f t="array" ref="L117">IFERROR(
_xlfn.XLOOKUP(
1,
(TRIM(CLEAN(SUBSTITUTE([1]Main!$F$2:$F$5000,CHAR(160)," ")))=
TRIM(CLEAN(SUBSTITUTE($B117,CHAR(160)," "))))
*
(--TEXT([1]Main!$N$2:$N$5000,"dd/mm/yyyy")=
--TEXT($C117,"dd/mm/yyyy")),
[1]Main!$Q$2:$Q$5000
),
_xlfn.XLOOKUP(
1,
(TRIM(CLEAN(SUBSTITUTE([2]Main!$F$2:$F$5000,CHAR(160)," ")))=
TRIM(CLEAN(SUBSTITUTE($B117,CHAR(160)," "))))
*
(--TEXT([2]Main!$N$2:$N$5000,"dd/mm/yyyy")=
--TEXT($C117,"dd/mm/yyyy")),
[2]Main!$Q$2:$Q$5000,
"Không tìm thấy"
)
)</f>
        <v>Nam</v>
      </c>
      <c r="M117" s="13" t="str" cm="1">
        <f t="array" ref="M117">IFERROR(
_xlfn.XLOOKUP(
1,
(TRIM(CLEAN(SUBSTITUTE([1]Main!$F$2:$F$5000,CHAR(160)," ")))=
TRIM(CLEAN(SUBSTITUTE($B117,CHAR(160)," "))))
*
(--TEXT([1]Main!$N$2:$N$5000,"dd/mm/yyyy")=
--TEXT($C117,"dd/mm/yyyy")),
[1]Main!$S$2:$S$5000
),
_xlfn.XLOOKUP(
1,
(TRIM(CLEAN(SUBSTITUTE([2]Main!$F$2:$F$5000,CHAR(160)," ")))=
TRIM(CLEAN(SUBSTITUTE($B117,CHAR(160)," "))))
*
(--TEXT([2]Main!$N$2:$N$5000,"dd/mm/yyyy")=
--TEXT($C117,"dd/mm/yyyy")),
[2]Main!$S$2:$S$5000,
"Không tìm thấy"
)
)</f>
        <v>VN</v>
      </c>
      <c r="N117" s="13" t="str" cm="1">
        <f t="array" ref="N117">IFERROR(
_xlfn.XLOOKUP(
1,
(TRIM(CLEAN(SUBSTITUTE([1]Main!$F$2:$F$5000,CHAR(160)," ")))=
TRIM(CLEAN(SUBSTITUTE($B117,CHAR(160)," "))))
*
(--TEXT([1]Main!$N$2:$N$5000,"dd/mm/yyyy")=
--TEXT($C117,"dd/mm/yyyy")),
[1]Main!$AL$2:$AL$5000
),
_xlfn.XLOOKUP(
1,
(TRIM(CLEAN(SUBSTITUTE([2]Main!$F$2:$F$5000,CHAR(160)," ")))=
TRIM(CLEAN(SUBSTITUTE($B117,CHAR(160)," "))))
*
(--TEXT([2]Main!$N$2:$N$5000,"dd/mm/yyyy")=
--TEXT($C117,"dd/mm/yyyy")),
[2]Main!$AL$2:$AL$5000,
"Không tìm thấy"
)
)</f>
        <v>Thành phố Hà Nội</v>
      </c>
      <c r="O117" s="10"/>
      <c r="P117" s="10"/>
      <c r="Q117" s="10"/>
      <c r="R117" s="10"/>
      <c r="S117" s="10"/>
      <c r="T117" s="3" t="s">
        <v>653</v>
      </c>
      <c r="U117" s="3"/>
      <c r="V117" s="3"/>
      <c r="W117" s="3" t="str">
        <f>IF(
    COUNTIFS(
        [1]Main!$F:$F,$B117,
        [1]Main!$N:$N,$C117
    )&gt;0,
    "Active",
    IF(
        COUNTIFS(
            [2]Main!$F:$F,$B117,
            [2]Main!$N:$N,$C117
        )&gt;0,
        "Inactive",
        "Không tìm thấy"
    )
)</f>
        <v>Active</v>
      </c>
      <c r="X117" s="15" t="str" cm="1">
        <f t="array" ref="X117">IFERROR(
_xlfn.XLOOKUP(
1,
(TRIM(CLEAN(SUBSTITUTE([2]Main!$F$2:$F$5000,CHAR(160)," ")))=
TRIM(CLEAN(SUBSTITUTE($B117,CHAR(160)," "))))
*
(--TEXT([2]Main!$N$2:$N$5000,"dd/mm/yyyy")=
--TEXT($C117,"dd/mm/yyyy")),
[2]Main!$AA$2:$AA$5000,
""
),
"")</f>
        <v/>
      </c>
      <c r="Y117" s="3"/>
      <c r="Z117" s="3"/>
      <c r="AA117" s="3"/>
      <c r="AB117" s="3"/>
    </row>
    <row r="118" spans="1:28" ht="38.25" customHeight="1" x14ac:dyDescent="0.25">
      <c r="A118" s="1">
        <v>117</v>
      </c>
      <c r="B118" s="2" t="s">
        <v>609</v>
      </c>
      <c r="C118" s="2" t="s">
        <v>610</v>
      </c>
      <c r="D118" s="2" t="s">
        <v>611</v>
      </c>
      <c r="E118" s="2" t="s">
        <v>271</v>
      </c>
      <c r="F118" s="2" t="s">
        <v>315</v>
      </c>
      <c r="G118" s="2" t="s">
        <v>272</v>
      </c>
      <c r="H118" s="1" t="s">
        <v>612</v>
      </c>
      <c r="I118" s="1" t="s">
        <v>38</v>
      </c>
      <c r="J118" s="2" t="s">
        <v>126</v>
      </c>
      <c r="K118" s="13" t="str" cm="1">
        <f t="array" ref="K118">IFERROR(
_xlfn.XLOOKUP(
1,
(TRIM(CLEAN(SUBSTITUTE([1]Main!$F$2:$F$5000,CHAR(160)," ")))=
TRIM(CLEAN(SUBSTITUTE($B118,CHAR(160)," "))))
*
(--TEXT([1]Main!$N$2:$N$5000,"dd/mm/yyyy")=
--TEXT($C118,"dd/mm/yyyy")),
[1]Main!$C$2:$C$5000
),
_xlfn.XLOOKUP(
1,
(TRIM(CLEAN(SUBSTITUTE([2]Main!$F$2:$F$5000,CHAR(160)," ")))=
TRIM(CLEAN(SUBSTITUTE($B118,CHAR(160)," "))))
*
(--TEXT([2]Main!$N$2:$N$5000,"dd/mm/yyyy")=
--TEXT($C118,"dd/mm/yyyy")),
[2]Main!$C$2:$C$5000,
"Không tìm thấy"
)
)</f>
        <v>026303002388</v>
      </c>
      <c r="L118" s="13" t="str" cm="1">
        <f t="array" ref="L118">IFERROR(
_xlfn.XLOOKUP(
1,
(TRIM(CLEAN(SUBSTITUTE([1]Main!$F$2:$F$5000,CHAR(160)," ")))=
TRIM(CLEAN(SUBSTITUTE($B118,CHAR(160)," "))))
*
(--TEXT([1]Main!$N$2:$N$5000,"dd/mm/yyyy")=
--TEXT($C118,"dd/mm/yyyy")),
[1]Main!$Q$2:$Q$5000
),
_xlfn.XLOOKUP(
1,
(TRIM(CLEAN(SUBSTITUTE([2]Main!$F$2:$F$5000,CHAR(160)," ")))=
TRIM(CLEAN(SUBSTITUTE($B118,CHAR(160)," "))))
*
(--TEXT([2]Main!$N$2:$N$5000,"dd/mm/yyyy")=
--TEXT($C118,"dd/mm/yyyy")),
[2]Main!$Q$2:$Q$5000,
"Không tìm thấy"
)
)</f>
        <v>Nữ</v>
      </c>
      <c r="M118" s="13" t="str" cm="1">
        <f t="array" ref="M118">IFERROR(
_xlfn.XLOOKUP(
1,
(TRIM(CLEAN(SUBSTITUTE([1]Main!$F$2:$F$5000,CHAR(160)," ")))=
TRIM(CLEAN(SUBSTITUTE($B118,CHAR(160)," "))))
*
(--TEXT([1]Main!$N$2:$N$5000,"dd/mm/yyyy")=
--TEXT($C118,"dd/mm/yyyy")),
[1]Main!$S$2:$S$5000
),
_xlfn.XLOOKUP(
1,
(TRIM(CLEAN(SUBSTITUTE([2]Main!$F$2:$F$5000,CHAR(160)," ")))=
TRIM(CLEAN(SUBSTITUTE($B118,CHAR(160)," "))))
*
(--TEXT([2]Main!$N$2:$N$5000,"dd/mm/yyyy")=
--TEXT($C118,"dd/mm/yyyy")),
[2]Main!$S$2:$S$5000,
"Không tìm thấy"
)
)</f>
        <v>VN</v>
      </c>
      <c r="N118" s="13" t="str" cm="1">
        <f t="array" ref="N118">IFERROR(
_xlfn.XLOOKUP(
1,
(TRIM(CLEAN(SUBSTITUTE([1]Main!$F$2:$F$5000,CHAR(160)," ")))=
TRIM(CLEAN(SUBSTITUTE($B118,CHAR(160)," "))))
*
(--TEXT([1]Main!$N$2:$N$5000,"dd/mm/yyyy")=
--TEXT($C118,"dd/mm/yyyy")),
[1]Main!$AL$2:$AL$5000
),
_xlfn.XLOOKUP(
1,
(TRIM(CLEAN(SUBSTITUTE([2]Main!$F$2:$F$5000,CHAR(160)," ")))=
TRIM(CLEAN(SUBSTITUTE($B118,CHAR(160)," "))))
*
(--TEXT([2]Main!$N$2:$N$5000,"dd/mm/yyyy")=
--TEXT($C118,"dd/mm/yyyy")),
[2]Main!$AL$2:$AL$5000,
"Không tìm thấy"
)
)</f>
        <v>Thành phố Hà Nội</v>
      </c>
      <c r="O118" s="10"/>
      <c r="P118" s="10"/>
      <c r="Q118" s="10"/>
      <c r="R118" s="10"/>
      <c r="S118" s="10"/>
      <c r="T118" s="3" t="s">
        <v>653</v>
      </c>
      <c r="U118" s="3"/>
      <c r="V118" s="3"/>
      <c r="W118" s="3" t="str">
        <f>IF(
    COUNTIFS(
        [1]Main!$F:$F,$B118,
        [1]Main!$N:$N,$C118
    )&gt;0,
    "Active",
    IF(
        COUNTIFS(
            [2]Main!$F:$F,$B118,
            [2]Main!$N:$N,$C118
        )&gt;0,
        "Inactive",
        "Không tìm thấy"
    )
)</f>
        <v>Active</v>
      </c>
      <c r="X118" s="15" t="str" cm="1">
        <f t="array" ref="X118">IFERROR(
_xlfn.XLOOKUP(
1,
(TRIM(CLEAN(SUBSTITUTE([2]Main!$F$2:$F$5000,CHAR(160)," ")))=
TRIM(CLEAN(SUBSTITUTE($B118,CHAR(160)," "))))
*
(--TEXT([2]Main!$N$2:$N$5000,"dd/mm/yyyy")=
--TEXT($C118,"dd/mm/yyyy")),
[2]Main!$AA$2:$AA$5000,
""
),
"")</f>
        <v/>
      </c>
      <c r="Y118" s="3"/>
      <c r="Z118" s="3"/>
      <c r="AA118" s="3"/>
      <c r="AB118" s="3"/>
    </row>
    <row r="119" spans="1:28" ht="25.5" customHeight="1" x14ac:dyDescent="0.25">
      <c r="A119" s="1">
        <v>118</v>
      </c>
      <c r="B119" s="2" t="s">
        <v>613</v>
      </c>
      <c r="C119" s="2" t="s">
        <v>614</v>
      </c>
      <c r="D119" s="2" t="s">
        <v>615</v>
      </c>
      <c r="E119" s="2" t="s">
        <v>603</v>
      </c>
      <c r="F119" s="2" t="s">
        <v>47</v>
      </c>
      <c r="G119" s="2" t="s">
        <v>348</v>
      </c>
      <c r="H119" s="1" t="s">
        <v>616</v>
      </c>
      <c r="I119" s="1" t="s">
        <v>38</v>
      </c>
      <c r="J119" s="2" t="s">
        <v>126</v>
      </c>
      <c r="K119" s="13" t="str" cm="1">
        <f t="array" ref="K119">IFERROR(
_xlfn.XLOOKUP(
1,
(TRIM(CLEAN(SUBSTITUTE([1]Main!$F$2:$F$5000,CHAR(160)," ")))=
TRIM(CLEAN(SUBSTITUTE($B119,CHAR(160)," "))))
*
(--TEXT([1]Main!$N$2:$N$5000,"dd/mm/yyyy")=
--TEXT($C119,"dd/mm/yyyy")),
[1]Main!$C$2:$C$5000
),
_xlfn.XLOOKUP(
1,
(TRIM(CLEAN(SUBSTITUTE([2]Main!$F$2:$F$5000,CHAR(160)," ")))=
TRIM(CLEAN(SUBSTITUTE($B119,CHAR(160)," "))))
*
(--TEXT([2]Main!$N$2:$N$5000,"dd/mm/yyyy")=
--TEXT($C119,"dd/mm/yyyy")),
[2]Main!$C$2:$C$5000,
"Không tìm thấy"
)
)</f>
        <v>066204000046</v>
      </c>
      <c r="L119" s="13" t="str" cm="1">
        <f t="array" ref="L119">IFERROR(
_xlfn.XLOOKUP(
1,
(TRIM(CLEAN(SUBSTITUTE([1]Main!$F$2:$F$5000,CHAR(160)," ")))=
TRIM(CLEAN(SUBSTITUTE($B119,CHAR(160)," "))))
*
(--TEXT([1]Main!$N$2:$N$5000,"dd/mm/yyyy")=
--TEXT($C119,"dd/mm/yyyy")),
[1]Main!$Q$2:$Q$5000
),
_xlfn.XLOOKUP(
1,
(TRIM(CLEAN(SUBSTITUTE([2]Main!$F$2:$F$5000,CHAR(160)," ")))=
TRIM(CLEAN(SUBSTITUTE($B119,CHAR(160)," "))))
*
(--TEXT([2]Main!$N$2:$N$5000,"dd/mm/yyyy")=
--TEXT($C119,"dd/mm/yyyy")),
[2]Main!$Q$2:$Q$5000,
"Không tìm thấy"
)
)</f>
        <v>Nam</v>
      </c>
      <c r="M119" s="13" t="str" cm="1">
        <f t="array" ref="M119">IFERROR(
_xlfn.XLOOKUP(
1,
(TRIM(CLEAN(SUBSTITUTE([1]Main!$F$2:$F$5000,CHAR(160)," ")))=
TRIM(CLEAN(SUBSTITUTE($B119,CHAR(160)," "))))
*
(--TEXT([1]Main!$N$2:$N$5000,"dd/mm/yyyy")=
--TEXT($C119,"dd/mm/yyyy")),
[1]Main!$S$2:$S$5000
),
_xlfn.XLOOKUP(
1,
(TRIM(CLEAN(SUBSTITUTE([2]Main!$F$2:$F$5000,CHAR(160)," ")))=
TRIM(CLEAN(SUBSTITUTE($B119,CHAR(160)," "))))
*
(--TEXT([2]Main!$N$2:$N$5000,"dd/mm/yyyy")=
--TEXT($C119,"dd/mm/yyyy")),
[2]Main!$S$2:$S$5000,
"Không tìm thấy"
)
)</f>
        <v>VN</v>
      </c>
      <c r="N119" s="13" t="str" cm="1">
        <f t="array" ref="N119">IFERROR(
_xlfn.XLOOKUP(
1,
(TRIM(CLEAN(SUBSTITUTE([1]Main!$F$2:$F$5000,CHAR(160)," ")))=
TRIM(CLEAN(SUBSTITUTE($B119,CHAR(160)," "))))
*
(--TEXT([1]Main!$N$2:$N$5000,"dd/mm/yyyy")=
--TEXT($C119,"dd/mm/yyyy")),
[1]Main!$AL$2:$AL$5000
),
_xlfn.XLOOKUP(
1,
(TRIM(CLEAN(SUBSTITUTE([2]Main!$F$2:$F$5000,CHAR(160)," ")))=
TRIM(CLEAN(SUBSTITUTE($B119,CHAR(160)," "))))
*
(--TEXT([2]Main!$N$2:$N$5000,"dd/mm/yyyy")=
--TEXT($C119,"dd/mm/yyyy")),
[2]Main!$AL$2:$AL$5000,
"Không tìm thấy"
)
)</f>
        <v>Thành phố Hà Nội</v>
      </c>
      <c r="O119" s="10"/>
      <c r="P119" s="10"/>
      <c r="Q119" s="10"/>
      <c r="R119" s="10"/>
      <c r="S119" s="10"/>
      <c r="T119" s="3" t="s">
        <v>653</v>
      </c>
      <c r="U119" s="3"/>
      <c r="V119" s="3"/>
      <c r="W119" s="3" t="str">
        <f>IF(
    COUNTIFS(
        [1]Main!$F:$F,$B119,
        [1]Main!$N:$N,$C119
    )&gt;0,
    "Active",
    IF(
        COUNTIFS(
            [2]Main!$F:$F,$B119,
            [2]Main!$N:$N,$C119
        )&gt;0,
        "Inactive",
        "Không tìm thấy"
    )
)</f>
        <v>Active</v>
      </c>
      <c r="X119" s="15" t="str" cm="1">
        <f t="array" ref="X119">IFERROR(
_xlfn.XLOOKUP(
1,
(TRIM(CLEAN(SUBSTITUTE([2]Main!$F$2:$F$5000,CHAR(160)," ")))=
TRIM(CLEAN(SUBSTITUTE($B119,CHAR(160)," "))))
*
(--TEXT([2]Main!$N$2:$N$5000,"dd/mm/yyyy")=
--TEXT($C119,"dd/mm/yyyy")),
[2]Main!$AA$2:$AA$5000,
""
),
"")</f>
        <v/>
      </c>
      <c r="Y119" s="3"/>
      <c r="Z119" s="3"/>
      <c r="AA119" s="3"/>
      <c r="AB119" s="3"/>
    </row>
    <row r="120" spans="1:28" ht="25.5" customHeight="1" x14ac:dyDescent="0.25">
      <c r="A120" s="1">
        <v>119</v>
      </c>
      <c r="B120" s="2" t="s">
        <v>617</v>
      </c>
      <c r="C120" s="2" t="s">
        <v>618</v>
      </c>
      <c r="D120" s="2" t="s">
        <v>619</v>
      </c>
      <c r="E120" s="2" t="s">
        <v>130</v>
      </c>
      <c r="F120" s="2" t="s">
        <v>620</v>
      </c>
      <c r="G120" s="2" t="s">
        <v>621</v>
      </c>
      <c r="H120" s="1" t="s">
        <v>622</v>
      </c>
      <c r="I120" s="1" t="s">
        <v>623</v>
      </c>
      <c r="J120" s="2" t="s">
        <v>15</v>
      </c>
      <c r="K120" s="13" t="str" cm="1">
        <f t="array" ref="K120">IFERROR(
_xlfn.XLOOKUP(
1,
(TRIM(CLEAN(SUBSTITUTE([1]Main!$F$2:$F$5000,CHAR(160)," ")))=
TRIM(CLEAN(SUBSTITUTE($B120,CHAR(160)," "))))
*
(--TEXT([1]Main!$N$2:$N$5000,"dd/mm/yyyy")=
--TEXT($C120,"dd/mm/yyyy")),
[1]Main!$C$2:$C$5000
),
_xlfn.XLOOKUP(
1,
(TRIM(CLEAN(SUBSTITUTE([2]Main!$F$2:$F$5000,CHAR(160)," ")))=
TRIM(CLEAN(SUBSTITUTE($B120,CHAR(160)," "))))
*
(--TEXT([2]Main!$N$2:$N$5000,"dd/mm/yyyy")=
--TEXT($C120,"dd/mm/yyyy")),
[2]Main!$C$2:$C$5000,
"Không tìm thấy"
)
)</f>
        <v>Không tìm thấy</v>
      </c>
      <c r="L120" s="13" t="str" cm="1">
        <f t="array" ref="L120">IFERROR(
_xlfn.XLOOKUP(
1,
(TRIM(CLEAN(SUBSTITUTE([1]Main!$F$2:$F$5000,CHAR(160)," ")))=
TRIM(CLEAN(SUBSTITUTE($B120,CHAR(160)," "))))
*
(--TEXT([1]Main!$N$2:$N$5000,"dd/mm/yyyy")=
--TEXT($C120,"dd/mm/yyyy")),
[1]Main!$Q$2:$Q$5000
),
_xlfn.XLOOKUP(
1,
(TRIM(CLEAN(SUBSTITUTE([2]Main!$F$2:$F$5000,CHAR(160)," ")))=
TRIM(CLEAN(SUBSTITUTE($B120,CHAR(160)," "))))
*
(--TEXT([2]Main!$N$2:$N$5000,"dd/mm/yyyy")=
--TEXT($C120,"dd/mm/yyyy")),
[2]Main!$Q$2:$Q$5000,
"Không tìm thấy"
)
)</f>
        <v>Không tìm thấy</v>
      </c>
      <c r="M120" s="13" t="str" cm="1">
        <f t="array" ref="M120">IFERROR(
_xlfn.XLOOKUP(
1,
(TRIM(CLEAN(SUBSTITUTE([1]Main!$F$2:$F$5000,CHAR(160)," ")))=
TRIM(CLEAN(SUBSTITUTE($B120,CHAR(160)," "))))
*
(--TEXT([1]Main!$N$2:$N$5000,"dd/mm/yyyy")=
--TEXT($C120,"dd/mm/yyyy")),
[1]Main!$S$2:$S$5000
),
_xlfn.XLOOKUP(
1,
(TRIM(CLEAN(SUBSTITUTE([2]Main!$F$2:$F$5000,CHAR(160)," ")))=
TRIM(CLEAN(SUBSTITUTE($B120,CHAR(160)," "))))
*
(--TEXT([2]Main!$N$2:$N$5000,"dd/mm/yyyy")=
--TEXT($C120,"dd/mm/yyyy")),
[2]Main!$S$2:$S$5000,
"Không tìm thấy"
)
)</f>
        <v>Không tìm thấy</v>
      </c>
      <c r="N120" s="13" t="str" cm="1">
        <f t="array" ref="N120">IFERROR(
_xlfn.XLOOKUP(
1,
(TRIM(CLEAN(SUBSTITUTE([1]Main!$F$2:$F$5000,CHAR(160)," ")))=
TRIM(CLEAN(SUBSTITUTE($B120,CHAR(160)," "))))
*
(--TEXT([1]Main!$N$2:$N$5000,"dd/mm/yyyy")=
--TEXT($C120,"dd/mm/yyyy")),
[1]Main!$AL$2:$AL$5000
),
_xlfn.XLOOKUP(
1,
(TRIM(CLEAN(SUBSTITUTE([2]Main!$F$2:$F$5000,CHAR(160)," ")))=
TRIM(CLEAN(SUBSTITUTE($B120,CHAR(160)," "))))
*
(--TEXT([2]Main!$N$2:$N$5000,"dd/mm/yyyy")=
--TEXT($C120,"dd/mm/yyyy")),
[2]Main!$AL$2:$AL$5000,
"Không tìm thấy"
)
)</f>
        <v>Không tìm thấy</v>
      </c>
      <c r="O120" s="10"/>
      <c r="P120" s="10"/>
      <c r="Q120" s="10"/>
      <c r="R120" s="10"/>
      <c r="S120" s="10"/>
      <c r="T120" s="3" t="s">
        <v>654</v>
      </c>
      <c r="U120" s="3"/>
      <c r="V120" s="3"/>
      <c r="W120" s="3" t="str">
        <f>IF(
    COUNTIFS(
        [1]Main!$F:$F,$B120,
        [1]Main!$N:$N,$C120
    )&gt;0,
    "Active",
    IF(
        COUNTIFS(
            [2]Main!$F:$F,$B120,
            [2]Main!$N:$N,$C120
        )&gt;0,
        "Inactive",
        "Không tìm thấy"
    )
)</f>
        <v>Không tìm thấy</v>
      </c>
      <c r="X120" s="15" t="str" cm="1">
        <f t="array" ref="X120">IFERROR(
_xlfn.XLOOKUP(
1,
(TRIM(CLEAN(SUBSTITUTE([2]Main!$F$2:$F$5000,CHAR(160)," ")))=
TRIM(CLEAN(SUBSTITUTE($B120,CHAR(160)," "))))
*
(--TEXT([2]Main!$N$2:$N$5000,"dd/mm/yyyy")=
--TEXT($C120,"dd/mm/yyyy")),
[2]Main!$AA$2:$AA$5000,
""
),
"")</f>
        <v/>
      </c>
      <c r="Y120" s="3"/>
      <c r="Z120" s="3"/>
      <c r="AA120" s="3"/>
      <c r="AB120" s="3"/>
    </row>
    <row r="121" spans="1:28" ht="38.25" customHeight="1" x14ac:dyDescent="0.25">
      <c r="A121" s="1">
        <v>120</v>
      </c>
      <c r="B121" s="2" t="s">
        <v>624</v>
      </c>
      <c r="C121" s="2" t="s">
        <v>625</v>
      </c>
      <c r="D121" s="2" t="s">
        <v>626</v>
      </c>
      <c r="E121" s="2" t="s">
        <v>627</v>
      </c>
      <c r="F121" s="2" t="s">
        <v>61</v>
      </c>
      <c r="G121" s="2" t="s">
        <v>196</v>
      </c>
      <c r="H121" s="1" t="s">
        <v>628</v>
      </c>
      <c r="I121" s="1" t="s">
        <v>14</v>
      </c>
      <c r="J121" s="2" t="s">
        <v>15</v>
      </c>
      <c r="K121" s="13" t="str" cm="1">
        <f t="array" ref="K121">IFERROR(
_xlfn.XLOOKUP(
1,
(TRIM(CLEAN(SUBSTITUTE([1]Main!$F$2:$F$5000,CHAR(160)," ")))=
TRIM(CLEAN(SUBSTITUTE($B121,CHAR(160)," "))))
*
(--TEXT([1]Main!$N$2:$N$5000,"dd/mm/yyyy")=
--TEXT($C121,"dd/mm/yyyy")),
[1]Main!$C$2:$C$5000
),
_xlfn.XLOOKUP(
1,
(TRIM(CLEAN(SUBSTITUTE([2]Main!$F$2:$F$5000,CHAR(160)," ")))=
TRIM(CLEAN(SUBSTITUTE($B121,CHAR(160)," "))))
*
(--TEXT([2]Main!$N$2:$N$5000,"dd/mm/yyyy")=
--TEXT($C121,"dd/mm/yyyy")),
[2]Main!$C$2:$C$5000,
"Không tìm thấy"
)
)</f>
        <v>Không tìm thấy</v>
      </c>
      <c r="L121" s="13" t="str" cm="1">
        <f t="array" ref="L121">IFERROR(
_xlfn.XLOOKUP(
1,
(TRIM(CLEAN(SUBSTITUTE([1]Main!$F$2:$F$5000,CHAR(160)," ")))=
TRIM(CLEAN(SUBSTITUTE($B121,CHAR(160)," "))))
*
(--TEXT([1]Main!$N$2:$N$5000,"dd/mm/yyyy")=
--TEXT($C121,"dd/mm/yyyy")),
[1]Main!$Q$2:$Q$5000
),
_xlfn.XLOOKUP(
1,
(TRIM(CLEAN(SUBSTITUTE([2]Main!$F$2:$F$5000,CHAR(160)," ")))=
TRIM(CLEAN(SUBSTITUTE($B121,CHAR(160)," "))))
*
(--TEXT([2]Main!$N$2:$N$5000,"dd/mm/yyyy")=
--TEXT($C121,"dd/mm/yyyy")),
[2]Main!$Q$2:$Q$5000,
"Không tìm thấy"
)
)</f>
        <v>Không tìm thấy</v>
      </c>
      <c r="M121" s="13" t="str" cm="1">
        <f t="array" ref="M121">IFERROR(
_xlfn.XLOOKUP(
1,
(TRIM(CLEAN(SUBSTITUTE([1]Main!$F$2:$F$5000,CHAR(160)," ")))=
TRIM(CLEAN(SUBSTITUTE($B121,CHAR(160)," "))))
*
(--TEXT([1]Main!$N$2:$N$5000,"dd/mm/yyyy")=
--TEXT($C121,"dd/mm/yyyy")),
[1]Main!$S$2:$S$5000
),
_xlfn.XLOOKUP(
1,
(TRIM(CLEAN(SUBSTITUTE([2]Main!$F$2:$F$5000,CHAR(160)," ")))=
TRIM(CLEAN(SUBSTITUTE($B121,CHAR(160)," "))))
*
(--TEXT([2]Main!$N$2:$N$5000,"dd/mm/yyyy")=
--TEXT($C121,"dd/mm/yyyy")),
[2]Main!$S$2:$S$5000,
"Không tìm thấy"
)
)</f>
        <v>Không tìm thấy</v>
      </c>
      <c r="N121" s="13" t="str" cm="1">
        <f t="array" ref="N121">IFERROR(
_xlfn.XLOOKUP(
1,
(TRIM(CLEAN(SUBSTITUTE([1]Main!$F$2:$F$5000,CHAR(160)," ")))=
TRIM(CLEAN(SUBSTITUTE($B121,CHAR(160)," "))))
*
(--TEXT([1]Main!$N$2:$N$5000,"dd/mm/yyyy")=
--TEXT($C121,"dd/mm/yyyy")),
[1]Main!$AL$2:$AL$5000
),
_xlfn.XLOOKUP(
1,
(TRIM(CLEAN(SUBSTITUTE([2]Main!$F$2:$F$5000,CHAR(160)," ")))=
TRIM(CLEAN(SUBSTITUTE($B121,CHAR(160)," "))))
*
(--TEXT([2]Main!$N$2:$N$5000,"dd/mm/yyyy")=
--TEXT($C121,"dd/mm/yyyy")),
[2]Main!$AL$2:$AL$5000,
"Không tìm thấy"
)
)</f>
        <v>Không tìm thấy</v>
      </c>
      <c r="O121" s="10"/>
      <c r="P121" s="10"/>
      <c r="Q121" s="10"/>
      <c r="R121" s="10"/>
      <c r="S121" s="10"/>
      <c r="T121" s="3" t="s">
        <v>654</v>
      </c>
      <c r="U121" s="3"/>
      <c r="V121" s="3"/>
      <c r="W121" s="3" t="str">
        <f>IF(
    COUNTIFS(
        [1]Main!$F:$F,$B121,
        [1]Main!$N:$N,$C121
    )&gt;0,
    "Active",
    IF(
        COUNTIFS(
            [2]Main!$F:$F,$B121,
            [2]Main!$N:$N,$C121
        )&gt;0,
        "Inactive",
        "Không tìm thấy"
    )
)</f>
        <v>Không tìm thấy</v>
      </c>
      <c r="X121" s="15" t="str" cm="1">
        <f t="array" ref="X121">IFERROR(
_xlfn.XLOOKUP(
1,
(TRIM(CLEAN(SUBSTITUTE([2]Main!$F$2:$F$5000,CHAR(160)," ")))=
TRIM(CLEAN(SUBSTITUTE($B121,CHAR(160)," "))))
*
(--TEXT([2]Main!$N$2:$N$5000,"dd/mm/yyyy")=
--TEXT($C121,"dd/mm/yyyy")),
[2]Main!$AA$2:$AA$5000,
""
),
"")</f>
        <v/>
      </c>
      <c r="Y121" s="3"/>
      <c r="Z121" s="3"/>
      <c r="AA121" s="3"/>
      <c r="AB121" s="3"/>
    </row>
    <row r="122" spans="1:28" ht="25.5" x14ac:dyDescent="0.25">
      <c r="A122" s="1">
        <v>121</v>
      </c>
      <c r="B122" s="2" t="s">
        <v>629</v>
      </c>
      <c r="C122" s="2" t="s">
        <v>630</v>
      </c>
      <c r="D122" s="2" t="s">
        <v>631</v>
      </c>
      <c r="E122" s="2" t="s">
        <v>130</v>
      </c>
      <c r="F122" s="2" t="s">
        <v>131</v>
      </c>
      <c r="G122" s="2" t="s">
        <v>132</v>
      </c>
      <c r="H122" s="1" t="s">
        <v>632</v>
      </c>
      <c r="I122" s="1" t="s">
        <v>38</v>
      </c>
      <c r="J122" s="2" t="s">
        <v>39</v>
      </c>
      <c r="K122" s="13" t="str" cm="1">
        <f t="array" ref="K122">IFERROR(
_xlfn.XLOOKUP(
1,
(TRIM(CLEAN(SUBSTITUTE([1]Main!$F$2:$F$5000,CHAR(160)," ")))=
TRIM(CLEAN(SUBSTITUTE($B122,CHAR(160)," "))))
*
(--TEXT([1]Main!$N$2:$N$5000,"dd/mm/yyyy")=
--TEXT($C122,"dd/mm/yyyy")),
[1]Main!$C$2:$C$5000
),
_xlfn.XLOOKUP(
1,
(TRIM(CLEAN(SUBSTITUTE([2]Main!$F$2:$F$5000,CHAR(160)," ")))=
TRIM(CLEAN(SUBSTITUTE($B122,CHAR(160)," "))))
*
(--TEXT([2]Main!$N$2:$N$5000,"dd/mm/yyyy")=
--TEXT($C122,"dd/mm/yyyy")),
[2]Main!$C$2:$C$5000,
"Không tìm thấy"
)
)</f>
        <v>Không tìm thấy</v>
      </c>
      <c r="L122" s="13" t="str" cm="1">
        <f t="array" ref="L122">IFERROR(
_xlfn.XLOOKUP(
1,
(TRIM(CLEAN(SUBSTITUTE([1]Main!$F$2:$F$5000,CHAR(160)," ")))=
TRIM(CLEAN(SUBSTITUTE($B122,CHAR(160)," "))))
*
(--TEXT([1]Main!$N$2:$N$5000,"dd/mm/yyyy")=
--TEXT($C122,"dd/mm/yyyy")),
[1]Main!$Q$2:$Q$5000
),
_xlfn.XLOOKUP(
1,
(TRIM(CLEAN(SUBSTITUTE([2]Main!$F$2:$F$5000,CHAR(160)," ")))=
TRIM(CLEAN(SUBSTITUTE($B122,CHAR(160)," "))))
*
(--TEXT([2]Main!$N$2:$N$5000,"dd/mm/yyyy")=
--TEXT($C122,"dd/mm/yyyy")),
[2]Main!$Q$2:$Q$5000,
"Không tìm thấy"
)
)</f>
        <v>Không tìm thấy</v>
      </c>
      <c r="M122" s="13" t="str" cm="1">
        <f t="array" ref="M122">IFERROR(
_xlfn.XLOOKUP(
1,
(TRIM(CLEAN(SUBSTITUTE([1]Main!$F$2:$F$5000,CHAR(160)," ")))=
TRIM(CLEAN(SUBSTITUTE($B122,CHAR(160)," "))))
*
(--TEXT([1]Main!$N$2:$N$5000,"dd/mm/yyyy")=
--TEXT($C122,"dd/mm/yyyy")),
[1]Main!$S$2:$S$5000
),
_xlfn.XLOOKUP(
1,
(TRIM(CLEAN(SUBSTITUTE([2]Main!$F$2:$F$5000,CHAR(160)," ")))=
TRIM(CLEAN(SUBSTITUTE($B122,CHAR(160)," "))))
*
(--TEXT([2]Main!$N$2:$N$5000,"dd/mm/yyyy")=
--TEXT($C122,"dd/mm/yyyy")),
[2]Main!$S$2:$S$5000,
"Không tìm thấy"
)
)</f>
        <v>Không tìm thấy</v>
      </c>
      <c r="N122" s="13" t="str" cm="1">
        <f t="array" ref="N122">IFERROR(
_xlfn.XLOOKUP(
1,
(TRIM(CLEAN(SUBSTITUTE([1]Main!$F$2:$F$5000,CHAR(160)," ")))=
TRIM(CLEAN(SUBSTITUTE($B122,CHAR(160)," "))))
*
(--TEXT([1]Main!$N$2:$N$5000,"dd/mm/yyyy")=
--TEXT($C122,"dd/mm/yyyy")),
[1]Main!$AL$2:$AL$5000
),
_xlfn.XLOOKUP(
1,
(TRIM(CLEAN(SUBSTITUTE([2]Main!$F$2:$F$5000,CHAR(160)," ")))=
TRIM(CLEAN(SUBSTITUTE($B122,CHAR(160)," "))))
*
(--TEXT([2]Main!$N$2:$N$5000,"dd/mm/yyyy")=
--TEXT($C122,"dd/mm/yyyy")),
[2]Main!$AL$2:$AL$5000,
"Không tìm thấy"
)
)</f>
        <v>Không tìm thấy</v>
      </c>
      <c r="O122" s="10"/>
      <c r="P122" s="10"/>
      <c r="Q122" s="10"/>
      <c r="R122" s="10"/>
      <c r="S122" s="10"/>
      <c r="T122" s="3" t="s">
        <v>654</v>
      </c>
      <c r="U122" s="3"/>
      <c r="V122" s="3"/>
      <c r="W122" s="3" t="str">
        <f>IF(
    COUNTIFS(
        [1]Main!$F:$F,$B122,
        [1]Main!$N:$N,$C122
    )&gt;0,
    "Active",
    IF(
        COUNTIFS(
            [2]Main!$F:$F,$B122,
            [2]Main!$N:$N,$C122
        )&gt;0,
        "Inactive",
        "Không tìm thấy"
    )
)</f>
        <v>Không tìm thấy</v>
      </c>
      <c r="X122" s="15" t="str" cm="1">
        <f t="array" ref="X122">IFERROR(
_xlfn.XLOOKUP(
1,
(TRIM(CLEAN(SUBSTITUTE([2]Main!$F$2:$F$5000,CHAR(160)," ")))=
TRIM(CLEAN(SUBSTITUTE($B122,CHAR(160)," "))))
*
(--TEXT([2]Main!$N$2:$N$5000,"dd/mm/yyyy")=
--TEXT($C122,"dd/mm/yyyy")),
[2]Main!$AA$2:$AA$5000,
""
),
"")</f>
        <v/>
      </c>
      <c r="Y122" s="3"/>
      <c r="Z122" s="3"/>
      <c r="AA122" s="3"/>
      <c r="AB122" s="3"/>
    </row>
  </sheetData>
  <autoFilter ref="A1:AB122" xr:uid="{00000000-0001-0000-0000-000000000000}"/>
  <dataValidations count="1">
    <dataValidation type="list" allowBlank="1" showInputMessage="1" showErrorMessage="1" sqref="T2:T122" xr:uid="{2C5652D7-612E-4721-B60F-296A462ABEE1}">
      <formula1>"Not Started,In Progress,Completed"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Nhân sự mới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Hao, Tran Xuan - NS - HN</cp:lastModifiedBy>
  <dcterms:created xsi:type="dcterms:W3CDTF">2026-07-23T08:19:21Z</dcterms:created>
  <dcterms:modified xsi:type="dcterms:W3CDTF">2026-07-28T04:38:26Z</dcterms:modified>
</cp:coreProperties>
</file>